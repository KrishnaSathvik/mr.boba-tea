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e-Time Investment" sheetId="1" state="visible" r:id="rId3"/>
    <sheet name="Monthly Costs" sheetId="2" state="visible" r:id="rId4"/>
    <sheet name="Cost Per Drin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<sst xmlns="http://schemas.openxmlformats.org/spreadsheetml/2006/main" count="327" uniqueCount="203">
  <si>
    <t xml:space="preserve">Mr. Boba Tea — One-Time Infrastructure &amp; Setup Costs</t>
  </si>
  <si>
    <t xml:space="preserve">These are items you buy ONCE at the beginning. They last 3-5+ years.</t>
  </si>
  <si>
    <t xml:space="preserve">EQUIPMENT (Core Machines)</t>
  </si>
  <si>
    <t xml:space="preserve">#</t>
  </si>
  <si>
    <t xml:space="preserve">Item</t>
  </si>
  <si>
    <t xml:space="preserve">Low Est. (₹)</t>
  </si>
  <si>
    <t xml:space="preserve">High Est. (₹)</t>
  </si>
  <si>
    <t xml:space="preserve">Priority</t>
  </si>
  <si>
    <t xml:space="preserve">Notes / Where to Buy</t>
  </si>
  <si>
    <t xml:space="preserve">Automatic Cup Sealing Machine</t>
  </si>
  <si>
    <t xml:space="preserve">Must-have</t>
  </si>
  <si>
    <t xml:space="preserve">95mm, seals PP/PET cups. IndiaMART / QQS Bubble Tea Delhi. Most important machine.</t>
  </si>
  <si>
    <t xml:space="preserve">Bubble Tea Shaker Machine</t>
  </si>
  <si>
    <t xml:space="preserve">Auto shaker (e.g. Dasin SK300). Mixes drinks evenly. Saves wrist strain.</t>
  </si>
  <si>
    <t xml:space="preserve">Commercial Blender (Soundless)</t>
  </si>
  <si>
    <t xml:space="preserve">For fruit blending. Get sound-shield type for customer comfort.</t>
  </si>
  <si>
    <t xml:space="preserve">Fructose / Syrup Dispenser</t>
  </si>
  <si>
    <t xml:space="preserve">Recommended</t>
  </si>
  <si>
    <t xml:space="preserve">16-button dispenser for precise sugar dosing. Can skip initially if on tight budget.</t>
  </si>
  <si>
    <t xml:space="preserve">Commercial Refrigerator (2-door)</t>
  </si>
  <si>
    <t xml:space="preserve">For storing milk, fruits, jellies, syrups. Vertical double-door preferred.</t>
  </si>
  <si>
    <t xml:space="preserve">Ice Maker Machine</t>
  </si>
  <si>
    <t xml:space="preserve">60kg/day capacity. Critical for daily operations. Don't rely on ice bags.</t>
  </si>
  <si>
    <t xml:space="preserve">Induction Cooktop / Gas Stove</t>
  </si>
  <si>
    <t xml:space="preserve">For cooking tapioca pearls daily. Induction preferred for safety.</t>
  </si>
  <si>
    <t xml:space="preserve">Tapioca Pearl Cooking Pot (SS)</t>
  </si>
  <si>
    <t xml:space="preserve">Large stainless steel pot for boiling pearls. 10-15 liter.</t>
  </si>
  <si>
    <t xml:space="preserve">Digital Weighing Scale</t>
  </si>
  <si>
    <t xml:space="preserve">For precise ingredient measurement. 0.1g accuracy.</t>
  </si>
  <si>
    <t xml:space="preserve">Subtotal: EQUIPMENT (Core Machines)</t>
  </si>
  <si>
    <t xml:space="preserve">SERVING SUPPLIES (Initial Stock)</t>
  </si>
  <si>
    <t xml:space="preserve">Cups (PP/PET) — 500 pcs</t>
  </si>
  <si>
    <t xml:space="preserve">95mm diameter. Start with plain, upgrade to custom-printed later.</t>
  </si>
  <si>
    <t xml:space="preserve">Sealing Film Rolls — 5 rolls</t>
  </si>
  <si>
    <t xml:space="preserve">Must match cup material (PP film for PP cups). ~500 seals/roll.</t>
  </si>
  <si>
    <t xml:space="preserve">Fat Boba Straws — 500 pcs</t>
  </si>
  <si>
    <t xml:space="preserve">12mm wide straws for tapioca pearls. Branded optional.</t>
  </si>
  <si>
    <t xml:space="preserve">Shaker Cups (PC Plastic) — 5 pcs</t>
  </si>
  <si>
    <t xml:space="preserve">For manual mixing. Clear plastic preferred over steel.</t>
  </si>
  <si>
    <t xml:space="preserve">Measuring Cups / Jiggers</t>
  </si>
  <si>
    <t xml:space="preserve">For portion control during training phase.</t>
  </si>
  <si>
    <t xml:space="preserve">Squeeze Bottles (for syrups)</t>
  </si>
  <si>
    <t xml:space="preserve">Nice-to-have</t>
  </si>
  <si>
    <t xml:space="preserve">For sauces, syrups, cream. 6-8 bottles.</t>
  </si>
  <si>
    <t xml:space="preserve">Containers / Storage Bins</t>
  </si>
  <si>
    <t xml:space="preserve">Food-grade containers for pearls, jellies, toppings.</t>
  </si>
  <si>
    <t xml:space="preserve">Subtotal: SERVING SUPPLIES (Initial Stock)</t>
  </si>
  <si>
    <t xml:space="preserve">SHOP SETUP &amp; INTERIOR</t>
  </si>
  <si>
    <t xml:space="preserve">Interior Painting &amp; Wall Art</t>
  </si>
  <si>
    <t xml:space="preserve">Important</t>
  </si>
  <si>
    <t xml:space="preserve">Pastel theme + boba characters + Instagram selfie wall.</t>
  </si>
  <si>
    <t xml:space="preserve">Neon LED Sign ("Mr. Boba Tea")</t>
  </si>
  <si>
    <t xml:space="preserve">Eye-catching storefront sign. Major draw for foot traffic.</t>
  </si>
  <si>
    <t xml:space="preserve">Menu Board (Backlit)</t>
  </si>
  <si>
    <t xml:space="preserve">5-column layout matching ordering flow. Photos of drinks.</t>
  </si>
  <si>
    <t xml:space="preserve">Counter / Work Table (SS)</t>
  </si>
  <si>
    <t xml:space="preserve">Stainless steel L-shaped counter with prep area.</t>
  </si>
  <si>
    <t xml:space="preserve">Small Tables + Chairs (2-3 sets)</t>
  </si>
  <si>
    <t xml:space="preserve">Cute seating for 4-8 people. Can start with 2 tables.</t>
  </si>
  <si>
    <t xml:space="preserve">Lighting (LED strips + fixtures)</t>
  </si>
  <si>
    <t xml:space="preserve">Warm string lights + spotlights on menu board.</t>
  </si>
  <si>
    <t xml:space="preserve">Wash Basin / Sink</t>
  </si>
  <si>
    <t xml:space="preserve">Stainless steel. FSSAI requirement for hygiene.</t>
  </si>
  <si>
    <t xml:space="preserve">Dustbin / Cleaning Supplies</t>
  </si>
  <si>
    <t xml:space="preserve">SS dustbin, mop, cleaning materials.</t>
  </si>
  <si>
    <t xml:space="preserve">Subtotal: SHOP SETUP &amp; INTERIOR</t>
  </si>
  <si>
    <t xml:space="preserve">BRANDING &amp; LEGAL</t>
  </si>
  <si>
    <t xml:space="preserve">Logo Design</t>
  </si>
  <si>
    <t xml:space="preserve">Professional logo. Can use Fiverr/local designer.</t>
  </si>
  <si>
    <t xml:space="preserve">Custom Cup Printing (later)</t>
  </si>
  <si>
    <t xml:space="preserve">Later</t>
  </si>
  <si>
    <t xml:space="preserve">MOQ usually 5000+ cups. Start with stickers on plain cups.</t>
  </si>
  <si>
    <t xml:space="preserve">Carry Bags (branded)</t>
  </si>
  <si>
    <t xml:space="preserve">Paper/plastic bags with logo for takeaway.</t>
  </si>
  <si>
    <t xml:space="preserve">FSSAI License</t>
  </si>
  <si>
    <t xml:space="preserve">Food Safety License — mandatory before opening.</t>
  </si>
  <si>
    <t xml:space="preserve">Trade License / Shop Act</t>
  </si>
  <si>
    <t xml:space="preserve">Municipal permission to operate.</t>
  </si>
  <si>
    <t xml:space="preserve">GST Registration</t>
  </si>
  <si>
    <t xml:space="preserve">Free if turnover &lt; 40L, but register for credibility.</t>
  </si>
  <si>
    <t xml:space="preserve">Swiggy/Zomato Onboarding</t>
  </si>
  <si>
    <t xml:space="preserve">Free to register. Commission per order (15-25%).</t>
  </si>
  <si>
    <t xml:space="preserve">Subtotal: BRANDING &amp; LEGAL</t>
  </si>
  <si>
    <t xml:space="preserve">MARKETING (Pre-Launch)</t>
  </si>
  <si>
    <t xml:space="preserve">Posters &amp; Banners (20 pcs)</t>
  </si>
  <si>
    <t xml:space="preserve">Near colleges, market area, bus stand.</t>
  </si>
  <si>
    <t xml:space="preserve">Influencer Tasting Event</t>
  </si>
  <si>
    <t xml:space="preserve">Free drinks for 5-10 local food bloggers.</t>
  </si>
  <si>
    <t xml:space="preserve">Instagram/Facebook Ads</t>
  </si>
  <si>
    <t xml:space="preserve">Geo-targeted ads for Khammam area.</t>
  </si>
  <si>
    <t xml:space="preserve">Opening Day Free Drinks (50)</t>
  </si>
  <si>
    <t xml:space="preserve">First 50 customers free small boba = buzz.</t>
  </si>
  <si>
    <t xml:space="preserve">Subtotal: MARKETING (Pre-Launch)</t>
  </si>
  <si>
    <t xml:space="preserve">RENT &amp; DEPOSIT</t>
  </si>
  <si>
    <t xml:space="preserve">Rent Deposit (3 months advance)</t>
  </si>
  <si>
    <t xml:space="preserve">@ ₹8,000-15,000/month depending on area.</t>
  </si>
  <si>
    <t xml:space="preserve">Subtotal: RENT &amp; DEPOSIT</t>
  </si>
  <si>
    <t xml:space="preserve">GRAND TOTAL — ONE-TIME INVESTMENT</t>
  </si>
  <si>
    <t xml:space="preserve">Budget ₹3-5L lean, ₹8-10L premium</t>
  </si>
  <si>
    <t xml:space="preserve">Mr. Boba Tea — Monthly Recurring Costs</t>
  </si>
  <si>
    <t xml:space="preserve">Items you need to buy or pay for EVERY MONTH to keep the shop running.</t>
  </si>
  <si>
    <t xml:space="preserve">RAW MATERIALS &amp; INGREDIENTS</t>
  </si>
  <si>
    <t xml:space="preserve">Frequency</t>
  </si>
  <si>
    <t xml:space="preserve">Notes</t>
  </si>
  <si>
    <t xml:space="preserve">Tapioca Pearls (Boba)</t>
  </si>
  <si>
    <t xml:space="preserve">Per Month</t>
  </si>
  <si>
    <t xml:space="preserve">~10-15 kg/month @ ₹250-350/kg. The Tea Planet Hyderabad. Cook fresh daily.</t>
  </si>
  <si>
    <t xml:space="preserve">Flavoring Syrups (fruit + milk)</t>
  </si>
  <si>
    <t xml:space="preserve">8-12 bottles/month. Mango, strawberry, lychee, taro, brown sugar etc.</t>
  </si>
  <si>
    <t xml:space="preserve">Popping Boba (assorted)</t>
  </si>
  <si>
    <t xml:space="preserve">3-5 kg/month @ ₹500-800/kg. Multiple flavors.</t>
  </si>
  <si>
    <t xml:space="preserve">Jelly Toppings (lychee/mango/coconut/strawberry)</t>
  </si>
  <si>
    <t xml:space="preserve">4-6 kg/month. Pre-made jelly from supplier.</t>
  </si>
  <si>
    <t xml:space="preserve">Milk / Creamer</t>
  </si>
  <si>
    <t xml:space="preserve">For milk tea category. Fresh milk + non-dairy creamer.</t>
  </si>
  <si>
    <t xml:space="preserve">Sugar / Fructose</t>
  </si>
  <si>
    <t xml:space="preserve">Bulk sugar. Fructose syrup if using dispenser.</t>
  </si>
  <si>
    <t xml:space="preserve">Fresh Fruits (if using real fruit)</t>
  </si>
  <si>
    <t xml:space="preserve">Mango, strawberry etc. Source from Khammam wholesale market.</t>
  </si>
  <si>
    <t xml:space="preserve">Ice (if no ice maker)</t>
  </si>
  <si>
    <t xml:space="preserve">Only if ice maker breaks down. Backup cost.</t>
  </si>
  <si>
    <t xml:space="preserve">Subtotal: RAW MATERIALS &amp; INGREDIENTS</t>
  </si>
  <si>
    <t xml:space="preserve">PACKAGING &amp; CONSUMABLES</t>
  </si>
  <si>
    <t xml:space="preserve">Cups (PP/PET) — ~1000/month</t>
  </si>
  <si>
    <t xml:space="preserve">Based on ~30-50 drinks/day. Will increase as sales grow.</t>
  </si>
  <si>
    <t xml:space="preserve">Sealing Film Rolls</t>
  </si>
  <si>
    <t xml:space="preserve">2-3 rolls/month at ~₹600-800/roll.</t>
  </si>
  <si>
    <t xml:space="preserve">Fat Boba Straws</t>
  </si>
  <si>
    <t xml:space="preserve">~1000 straws/month. Bulk order from IndiaMART.</t>
  </si>
  <si>
    <t xml:space="preserve">Carry Bags / Paper Bags</t>
  </si>
  <si>
    <t xml:space="preserve">For takeaway orders.</t>
  </si>
  <si>
    <t xml:space="preserve">Napkins / Tissues</t>
  </si>
  <si>
    <t xml:space="preserve">Basic hygiene supplies.</t>
  </si>
  <si>
    <t xml:space="preserve">Subtotal: PACKAGING &amp; CONSUMABLES</t>
  </si>
  <si>
    <t xml:space="preserve">FIXED OVERHEADS</t>
  </si>
  <si>
    <t xml:space="preserve">Shop Rent</t>
  </si>
  <si>
    <t xml:space="preserve">Khammam main area / market / college zone.</t>
  </si>
  <si>
    <t xml:space="preserve">Electricity</t>
  </si>
  <si>
    <t xml:space="preserve">Fridge, ice maker, sealer, lights. Higher in summer.</t>
  </si>
  <si>
    <t xml:space="preserve">Water</t>
  </si>
  <si>
    <t xml:space="preserve">Municipal or RO water for drink prep.</t>
  </si>
  <si>
    <t xml:space="preserve">Internet / WiFi</t>
  </si>
  <si>
    <t xml:space="preserve">For Swiggy/Zomato tablet, social media.</t>
  </si>
  <si>
    <t xml:space="preserve">Subtotal: FIXED OVERHEADS</t>
  </si>
  <si>
    <t xml:space="preserve">STAFF SALARIES</t>
  </si>
  <si>
    <t xml:space="preserve">Boba Maker / Barista #1</t>
  </si>
  <si>
    <t xml:space="preserve">Primary drink maker. Train well.</t>
  </si>
  <si>
    <t xml:space="preserve">Boba Maker / Barista #2 (optional)</t>
  </si>
  <si>
    <t xml:space="preserve">Add when daily orders exceed 40-50. Not needed at launch.</t>
  </si>
  <si>
    <t xml:space="preserve">Helper / Cleaner</t>
  </si>
  <si>
    <t xml:space="preserve">Cleaning, packaging, delivery support.</t>
  </si>
  <si>
    <t xml:space="preserve">Subtotal: STAFF SALARIES</t>
  </si>
  <si>
    <t xml:space="preserve">PLATFORM &amp; MARKETING</t>
  </si>
  <si>
    <t xml:space="preserve">Swiggy/Zomato Commission</t>
  </si>
  <si>
    <t xml:space="preserve">15-25% per order. Varies with order volume.</t>
  </si>
  <si>
    <t xml:space="preserve">Social Media Marketing</t>
  </si>
  <si>
    <t xml:space="preserve">Instagram ads, boosted posts, reels creation.</t>
  </si>
  <si>
    <t xml:space="preserve">Loyalty Cards / Printed Materials</t>
  </si>
  <si>
    <t xml:space="preserve">Stamp cards, flyers, small prints.</t>
  </si>
  <si>
    <t xml:space="preserve">Subtotal: PLATFORM &amp; MARKETING</t>
  </si>
  <si>
    <t xml:space="preserve">MISCELLANEOUS</t>
  </si>
  <si>
    <t xml:space="preserve">Cleaning Supplies</t>
  </si>
  <si>
    <t xml:space="preserve">Detergent, sanitizer, gloves, caps, aprons.</t>
  </si>
  <si>
    <t xml:space="preserve">Maintenance / Repairs</t>
  </si>
  <si>
    <t xml:space="preserve">Machine servicing, minor repairs.</t>
  </si>
  <si>
    <t xml:space="preserve">Accounting / GST Filing</t>
  </si>
  <si>
    <t xml:space="preserve">CA charges for monthly GST return.</t>
  </si>
  <si>
    <t xml:space="preserve">Subtotal: MISCELLANEOUS</t>
  </si>
  <si>
    <t xml:space="preserve">GRAND TOTAL — MONTHLY RECURRING</t>
  </si>
  <si>
    <t xml:space="preserve">Will increase as sales volume grows</t>
  </si>
  <si>
    <t xml:space="preserve">Mr. Boba Tea — Estimated Cost Per Drink</t>
  </si>
  <si>
    <t xml:space="preserve">Breakdown of what each drink costs you to make (ingredients + packaging only).</t>
  </si>
  <si>
    <t xml:space="preserve">Component</t>
  </si>
  <si>
    <t xml:space="preserve">Small (₹)</t>
  </si>
  <si>
    <t xml:space="preserve">Medium (₹)</t>
  </si>
  <si>
    <t xml:space="preserve">Large (₹)</t>
  </si>
  <si>
    <t xml:space="preserve">Tapioca Pearls (boba)</t>
  </si>
  <si>
    <t xml:space="preserve">~30-50g per drink @ ₹250-350/kg</t>
  </si>
  <si>
    <t xml:space="preserve">Flavoring Syrup / Powder</t>
  </si>
  <si>
    <t xml:space="preserve">Premium syrups ~₹400-600/bottle (25+ servings)</t>
  </si>
  <si>
    <t xml:space="preserve">Milk / Creamer (milk tea only)</t>
  </si>
  <si>
    <t xml:space="preserve">Fresh milk or non-dairy creamer</t>
  </si>
  <si>
    <t xml:space="preserve">Fresh Fruit (fruit tea only)</t>
  </si>
  <si>
    <t xml:space="preserve">Seasonal pricing varies</t>
  </si>
  <si>
    <t xml:space="preserve">Minimal cost per drink</t>
  </si>
  <si>
    <t xml:space="preserve">Ice</t>
  </si>
  <si>
    <t xml:space="preserve">From ice maker</t>
  </si>
  <si>
    <t xml:space="preserve">Cup (PP/PET)</t>
  </si>
  <si>
    <t xml:space="preserve">Size-dependent cup cost</t>
  </si>
  <si>
    <t xml:space="preserve">Sealing Film</t>
  </si>
  <si>
    <t xml:space="preserve">~₹1.2 per seal</t>
  </si>
  <si>
    <t xml:space="preserve">Straw</t>
  </si>
  <si>
    <t xml:space="preserve">Fat boba straw</t>
  </si>
  <si>
    <t xml:space="preserve">Carry Bag (takeaway)</t>
  </si>
  <si>
    <t xml:space="preserve">Not all orders need bag</t>
  </si>
  <si>
    <t xml:space="preserve">TOTAL COST PER DRINK</t>
  </si>
  <si>
    <t xml:space="preserve">SELLING PRICE</t>
  </si>
  <si>
    <t xml:space="preserve">Your retail price</t>
  </si>
  <si>
    <t xml:space="preserve">GROSS PROFIT PER DRINK</t>
  </si>
  <si>
    <t xml:space="preserve">Selling Price - Ingredient Cost</t>
  </si>
  <si>
    <t xml:space="preserve">GROSS MARGIN %</t>
  </si>
  <si>
    <t xml:space="preserve">Target: 70%+ margin</t>
  </si>
  <si>
    <t xml:space="preserve">Note: Extra toppings (Lychee/Mango/Coconut/Strawberry Jelly, Popping Pearls) cost ~₹5-10 each to you, charged at ₹30 to customer = 67-83% margin on toppings too.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</si>
</sst>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D3E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1B4D3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8F0"/>
        <bgColor rgb="FFFFF9E6"/>
      </patternFill>
    </fill>
    <fill>
      <patternFill patternType="solid">
        <fgColor rgb="FF1B4D3E"/>
        <bgColor rgb="FF003366"/>
      </patternFill>
    </fill>
    <fill>
      <patternFill patternType="solid">
        <fgColor rgb="FFF2F2F2"/>
        <bgColor rgb="FFFFF0E5"/>
      </patternFill>
    </fill>
    <fill>
      <patternFill patternType="solid">
        <fgColor rgb="FFE0F5EB"/>
        <bgColor rgb="FFF2F2F2"/>
      </patternFill>
    </fill>
    <fill>
      <patternFill patternType="solid">
        <fgColor rgb="FFFFF0E5"/>
        <bgColor rgb="FFFFF9E6"/>
      </patternFill>
    </fill>
    <fill>
      <patternFill patternType="solid">
        <fgColor rgb="FFFFF9E6"/>
        <bgColor rgb="FFFFF8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E6"/>
      <rgbColor rgb="FFE0F5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FF8F0"/>
      <rgbColor rgb="FFFFF0E5"/>
      <rgbColor rgb="FF99CCFF"/>
      <rgbColor rgb="FFE8A87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1B4D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D3E"/>
    <pageSetUpPr fitToPage="false"/>
  </sheetPr>
  <dimension ref="A1:F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6.1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n">
        <v>1</v>
      </c>
      <c r="B6" s="5" t="s">
        <v>9</v>
      </c>
      <c r="C6" s="6" t="n">
        <v>15000</v>
      </c>
      <c r="D6" s="6" t="n">
        <v>25000</v>
      </c>
      <c r="E6" s="7" t="s">
        <v>10</v>
      </c>
      <c r="F6" s="7" t="s">
        <v>11</v>
      </c>
    </row>
    <row r="7" customFormat="false" ht="15" hidden="false" customHeight="false" outlineLevel="0" collapsed="false">
      <c r="A7" s="8" t="n">
        <v>2</v>
      </c>
      <c r="B7" s="8" t="s">
        <v>12</v>
      </c>
      <c r="C7" s="9" t="n">
        <v>18000</v>
      </c>
      <c r="D7" s="9" t="n">
        <v>28000</v>
      </c>
      <c r="E7" s="10" t="s">
        <v>10</v>
      </c>
      <c r="F7" s="10" t="s">
        <v>13</v>
      </c>
    </row>
    <row r="8" customFormat="false" ht="15" hidden="false" customHeight="false" outlineLevel="0" collapsed="false">
      <c r="A8" s="5" t="n">
        <v>3</v>
      </c>
      <c r="B8" s="5" t="s">
        <v>14</v>
      </c>
      <c r="C8" s="6" t="n">
        <v>8000</v>
      </c>
      <c r="D8" s="6" t="n">
        <v>15000</v>
      </c>
      <c r="E8" s="7" t="s">
        <v>10</v>
      </c>
      <c r="F8" s="7" t="s">
        <v>15</v>
      </c>
    </row>
    <row r="9" customFormat="false" ht="15" hidden="false" customHeight="false" outlineLevel="0" collapsed="false">
      <c r="A9" s="8" t="n">
        <v>4</v>
      </c>
      <c r="B9" s="8" t="s">
        <v>16</v>
      </c>
      <c r="C9" s="9" t="n">
        <v>12000</v>
      </c>
      <c r="D9" s="9" t="n">
        <v>22000</v>
      </c>
      <c r="E9" s="10" t="s">
        <v>17</v>
      </c>
      <c r="F9" s="10" t="s">
        <v>18</v>
      </c>
    </row>
    <row r="10" customFormat="false" ht="15" hidden="false" customHeight="false" outlineLevel="0" collapsed="false">
      <c r="A10" s="5" t="n">
        <v>5</v>
      </c>
      <c r="B10" s="5" t="s">
        <v>19</v>
      </c>
      <c r="C10" s="6" t="n">
        <v>18000</v>
      </c>
      <c r="D10" s="6" t="n">
        <v>30000</v>
      </c>
      <c r="E10" s="7" t="s">
        <v>10</v>
      </c>
      <c r="F10" s="7" t="s">
        <v>20</v>
      </c>
    </row>
    <row r="11" customFormat="false" ht="15" hidden="false" customHeight="false" outlineLevel="0" collapsed="false">
      <c r="A11" s="8" t="n">
        <v>6</v>
      </c>
      <c r="B11" s="8" t="s">
        <v>21</v>
      </c>
      <c r="C11" s="9" t="n">
        <v>15000</v>
      </c>
      <c r="D11" s="9" t="n">
        <v>25000</v>
      </c>
      <c r="E11" s="10" t="s">
        <v>10</v>
      </c>
      <c r="F11" s="10" t="s">
        <v>22</v>
      </c>
    </row>
    <row r="12" customFormat="false" ht="15" hidden="false" customHeight="false" outlineLevel="0" collapsed="false">
      <c r="A12" s="5" t="n">
        <v>7</v>
      </c>
      <c r="B12" s="5" t="s">
        <v>23</v>
      </c>
      <c r="C12" s="6" t="n">
        <v>3000</v>
      </c>
      <c r="D12" s="6" t="n">
        <v>6000</v>
      </c>
      <c r="E12" s="7" t="s">
        <v>10</v>
      </c>
      <c r="F12" s="7" t="s">
        <v>24</v>
      </c>
    </row>
    <row r="13" customFormat="false" ht="15" hidden="false" customHeight="false" outlineLevel="0" collapsed="false">
      <c r="A13" s="8" t="n">
        <v>8</v>
      </c>
      <c r="B13" s="8" t="s">
        <v>25</v>
      </c>
      <c r="C13" s="9" t="n">
        <v>1500</v>
      </c>
      <c r="D13" s="9" t="n">
        <v>3000</v>
      </c>
      <c r="E13" s="10" t="s">
        <v>10</v>
      </c>
      <c r="F13" s="10" t="s">
        <v>26</v>
      </c>
    </row>
    <row r="14" customFormat="false" ht="15" hidden="false" customHeight="false" outlineLevel="0" collapsed="false">
      <c r="A14" s="5" t="n">
        <v>9</v>
      </c>
      <c r="B14" s="5" t="s">
        <v>27</v>
      </c>
      <c r="C14" s="6" t="n">
        <v>500</v>
      </c>
      <c r="D14" s="6" t="n">
        <v>1500</v>
      </c>
      <c r="E14" s="7" t="s">
        <v>10</v>
      </c>
      <c r="F14" s="7" t="s">
        <v>28</v>
      </c>
    </row>
    <row r="15" customFormat="false" ht="15" hidden="false" customHeight="true" outlineLevel="0" collapsed="false">
      <c r="A15" s="11" t="s">
        <v>29</v>
      </c>
      <c r="B15" s="11"/>
      <c r="C15" s="12" t="n">
        <f aca="false">SUM(C6:C14)</f>
        <v>91000</v>
      </c>
      <c r="D15" s="12" t="n">
        <f aca="false">SUM(D6:D14)</f>
        <v>155500</v>
      </c>
      <c r="E15" s="13"/>
      <c r="F15" s="13"/>
    </row>
    <row r="17" customFormat="false" ht="16.15" hidden="false" customHeight="true" outlineLevel="0" collapsed="false">
      <c r="A17" s="14" t="s">
        <v>30</v>
      </c>
      <c r="B17" s="14"/>
      <c r="C17" s="14"/>
      <c r="D17" s="14"/>
      <c r="E17" s="14"/>
      <c r="F17" s="14"/>
    </row>
    <row r="18" customFormat="false" ht="15" hidden="false" customHeight="false" outlineLevel="0" collapsed="false">
      <c r="A18" s="4" t="s">
        <v>3</v>
      </c>
      <c r="B18" s="4" t="s">
        <v>4</v>
      </c>
      <c r="C18" s="4" t="s">
        <v>5</v>
      </c>
      <c r="D18" s="4" t="s">
        <v>6</v>
      </c>
      <c r="E18" s="4" t="s">
        <v>7</v>
      </c>
      <c r="F18" s="4" t="s">
        <v>8</v>
      </c>
    </row>
    <row r="19" customFormat="false" ht="15" hidden="false" customHeight="false" outlineLevel="0" collapsed="false">
      <c r="A19" s="5" t="n">
        <v>1</v>
      </c>
      <c r="B19" s="5" t="s">
        <v>31</v>
      </c>
      <c r="C19" s="6" t="n">
        <v>2500</v>
      </c>
      <c r="D19" s="6" t="n">
        <v>4000</v>
      </c>
      <c r="E19" s="7" t="s">
        <v>10</v>
      </c>
      <c r="F19" s="7" t="s">
        <v>32</v>
      </c>
    </row>
    <row r="20" customFormat="false" ht="15" hidden="false" customHeight="false" outlineLevel="0" collapsed="false">
      <c r="A20" s="8" t="n">
        <v>2</v>
      </c>
      <c r="B20" s="8" t="s">
        <v>33</v>
      </c>
      <c r="C20" s="9" t="n">
        <v>2000</v>
      </c>
      <c r="D20" s="9" t="n">
        <v>3500</v>
      </c>
      <c r="E20" s="10" t="s">
        <v>10</v>
      </c>
      <c r="F20" s="10" t="s">
        <v>34</v>
      </c>
    </row>
    <row r="21" customFormat="false" ht="15" hidden="false" customHeight="false" outlineLevel="0" collapsed="false">
      <c r="A21" s="5" t="n">
        <v>3</v>
      </c>
      <c r="B21" s="5" t="s">
        <v>35</v>
      </c>
      <c r="C21" s="6" t="n">
        <v>800</v>
      </c>
      <c r="D21" s="6" t="n">
        <v>1500</v>
      </c>
      <c r="E21" s="7" t="s">
        <v>10</v>
      </c>
      <c r="F21" s="7" t="s">
        <v>36</v>
      </c>
    </row>
    <row r="22" customFormat="false" ht="15" hidden="false" customHeight="false" outlineLevel="0" collapsed="false">
      <c r="A22" s="8" t="n">
        <v>4</v>
      </c>
      <c r="B22" s="8" t="s">
        <v>37</v>
      </c>
      <c r="C22" s="9" t="n">
        <v>1000</v>
      </c>
      <c r="D22" s="9" t="n">
        <v>2000</v>
      </c>
      <c r="E22" s="10" t="s">
        <v>10</v>
      </c>
      <c r="F22" s="10" t="s">
        <v>38</v>
      </c>
    </row>
    <row r="23" customFormat="false" ht="15" hidden="false" customHeight="false" outlineLevel="0" collapsed="false">
      <c r="A23" s="5" t="n">
        <v>5</v>
      </c>
      <c r="B23" s="5" t="s">
        <v>39</v>
      </c>
      <c r="C23" s="6" t="n">
        <v>300</v>
      </c>
      <c r="D23" s="6" t="n">
        <v>600</v>
      </c>
      <c r="E23" s="7" t="s">
        <v>10</v>
      </c>
      <c r="F23" s="7" t="s">
        <v>40</v>
      </c>
    </row>
    <row r="24" customFormat="false" ht="15" hidden="false" customHeight="false" outlineLevel="0" collapsed="false">
      <c r="A24" s="8" t="n">
        <v>6</v>
      </c>
      <c r="B24" s="8" t="s">
        <v>41</v>
      </c>
      <c r="C24" s="9" t="n">
        <v>400</v>
      </c>
      <c r="D24" s="9" t="n">
        <v>800</v>
      </c>
      <c r="E24" s="10" t="s">
        <v>42</v>
      </c>
      <c r="F24" s="10" t="s">
        <v>43</v>
      </c>
    </row>
    <row r="25" customFormat="false" ht="15" hidden="false" customHeight="false" outlineLevel="0" collapsed="false">
      <c r="A25" s="5" t="n">
        <v>7</v>
      </c>
      <c r="B25" s="5" t="s">
        <v>44</v>
      </c>
      <c r="C25" s="6" t="n">
        <v>1000</v>
      </c>
      <c r="D25" s="6" t="n">
        <v>2000</v>
      </c>
      <c r="E25" s="7" t="s">
        <v>10</v>
      </c>
      <c r="F25" s="7" t="s">
        <v>45</v>
      </c>
    </row>
    <row r="26" customFormat="false" ht="23.85" hidden="false" customHeight="true" outlineLevel="0" collapsed="false">
      <c r="A26" s="11" t="s">
        <v>46</v>
      </c>
      <c r="B26" s="11"/>
      <c r="C26" s="12" t="n">
        <f aca="false">SUM(C19:C25)</f>
        <v>8000</v>
      </c>
      <c r="D26" s="12" t="n">
        <f aca="false">SUM(D19:D25)</f>
        <v>14400</v>
      </c>
      <c r="E26" s="13"/>
      <c r="F26" s="13"/>
    </row>
    <row r="28" customFormat="false" ht="16.15" hidden="false" customHeight="true" outlineLevel="0" collapsed="false">
      <c r="A28" s="15" t="s">
        <v>47</v>
      </c>
      <c r="B28" s="15"/>
      <c r="C28" s="15"/>
      <c r="D28" s="15"/>
      <c r="E28" s="15"/>
      <c r="F28" s="15"/>
    </row>
    <row r="29" customFormat="false" ht="15" hidden="false" customHeight="fals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</row>
    <row r="30" customFormat="false" ht="15" hidden="false" customHeight="false" outlineLevel="0" collapsed="false">
      <c r="A30" s="5" t="n">
        <v>1</v>
      </c>
      <c r="B30" s="5" t="s">
        <v>48</v>
      </c>
      <c r="C30" s="6" t="n">
        <v>15000</v>
      </c>
      <c r="D30" s="6" t="n">
        <v>30000</v>
      </c>
      <c r="E30" s="7" t="s">
        <v>49</v>
      </c>
      <c r="F30" s="7" t="s">
        <v>50</v>
      </c>
    </row>
    <row r="31" customFormat="false" ht="15" hidden="false" customHeight="false" outlineLevel="0" collapsed="false">
      <c r="A31" s="8" t="n">
        <v>2</v>
      </c>
      <c r="B31" s="8" t="s">
        <v>51</v>
      </c>
      <c r="C31" s="9" t="n">
        <v>5000</v>
      </c>
      <c r="D31" s="9" t="n">
        <v>12000</v>
      </c>
      <c r="E31" s="10" t="s">
        <v>49</v>
      </c>
      <c r="F31" s="10" t="s">
        <v>52</v>
      </c>
    </row>
    <row r="32" customFormat="false" ht="15" hidden="false" customHeight="false" outlineLevel="0" collapsed="false">
      <c r="A32" s="5" t="n">
        <v>3</v>
      </c>
      <c r="B32" s="5" t="s">
        <v>53</v>
      </c>
      <c r="C32" s="6" t="n">
        <v>5000</v>
      </c>
      <c r="D32" s="6" t="n">
        <v>10000</v>
      </c>
      <c r="E32" s="7" t="s">
        <v>49</v>
      </c>
      <c r="F32" s="7" t="s">
        <v>54</v>
      </c>
    </row>
    <row r="33" customFormat="false" ht="15" hidden="false" customHeight="false" outlineLevel="0" collapsed="false">
      <c r="A33" s="8" t="n">
        <v>4</v>
      </c>
      <c r="B33" s="8" t="s">
        <v>55</v>
      </c>
      <c r="C33" s="9" t="n">
        <v>8000</v>
      </c>
      <c r="D33" s="9" t="n">
        <v>15000</v>
      </c>
      <c r="E33" s="10" t="s">
        <v>10</v>
      </c>
      <c r="F33" s="10" t="s">
        <v>56</v>
      </c>
    </row>
    <row r="34" customFormat="false" ht="15" hidden="false" customHeight="false" outlineLevel="0" collapsed="false">
      <c r="A34" s="5" t="n">
        <v>5</v>
      </c>
      <c r="B34" s="5" t="s">
        <v>57</v>
      </c>
      <c r="C34" s="6" t="n">
        <v>5000</v>
      </c>
      <c r="D34" s="6" t="n">
        <v>10000</v>
      </c>
      <c r="E34" s="7" t="s">
        <v>42</v>
      </c>
      <c r="F34" s="7" t="s">
        <v>58</v>
      </c>
    </row>
    <row r="35" customFormat="false" ht="15" hidden="false" customHeight="false" outlineLevel="0" collapsed="false">
      <c r="A35" s="8" t="n">
        <v>6</v>
      </c>
      <c r="B35" s="8" t="s">
        <v>59</v>
      </c>
      <c r="C35" s="9" t="n">
        <v>3000</v>
      </c>
      <c r="D35" s="9" t="n">
        <v>6000</v>
      </c>
      <c r="E35" s="10" t="s">
        <v>49</v>
      </c>
      <c r="F35" s="10" t="s">
        <v>60</v>
      </c>
    </row>
    <row r="36" customFormat="false" ht="15" hidden="false" customHeight="false" outlineLevel="0" collapsed="false">
      <c r="A36" s="5" t="n">
        <v>7</v>
      </c>
      <c r="B36" s="5" t="s">
        <v>61</v>
      </c>
      <c r="C36" s="6" t="n">
        <v>3000</v>
      </c>
      <c r="D36" s="6" t="n">
        <v>5000</v>
      </c>
      <c r="E36" s="7" t="s">
        <v>10</v>
      </c>
      <c r="F36" s="7" t="s">
        <v>62</v>
      </c>
    </row>
    <row r="37" customFormat="false" ht="15" hidden="false" customHeight="false" outlineLevel="0" collapsed="false">
      <c r="A37" s="8" t="n">
        <v>8</v>
      </c>
      <c r="B37" s="8" t="s">
        <v>63</v>
      </c>
      <c r="C37" s="9" t="n">
        <v>500</v>
      </c>
      <c r="D37" s="9" t="n">
        <v>1000</v>
      </c>
      <c r="E37" s="10" t="s">
        <v>10</v>
      </c>
      <c r="F37" s="10" t="s">
        <v>64</v>
      </c>
    </row>
    <row r="38" customFormat="false" ht="15" hidden="false" customHeight="true" outlineLevel="0" collapsed="false">
      <c r="A38" s="11" t="s">
        <v>65</v>
      </c>
      <c r="B38" s="11"/>
      <c r="C38" s="12" t="n">
        <f aca="false">SUM(C30:C37)</f>
        <v>44500</v>
      </c>
      <c r="D38" s="12" t="n">
        <f aca="false">SUM(D30:D37)</f>
        <v>89000</v>
      </c>
      <c r="E38" s="13"/>
      <c r="F38" s="13"/>
    </row>
    <row r="40" customFormat="false" ht="16.15" hidden="false" customHeight="true" outlineLevel="0" collapsed="false">
      <c r="A40" s="3" t="s">
        <v>66</v>
      </c>
      <c r="B40" s="3"/>
      <c r="C40" s="3"/>
      <c r="D40" s="3"/>
      <c r="E40" s="3"/>
      <c r="F40" s="3"/>
    </row>
    <row r="41" customFormat="false" ht="15" hidden="false" customHeight="fals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</row>
    <row r="42" customFormat="false" ht="15" hidden="false" customHeight="false" outlineLevel="0" collapsed="false">
      <c r="A42" s="5" t="n">
        <v>1</v>
      </c>
      <c r="B42" s="5" t="s">
        <v>67</v>
      </c>
      <c r="C42" s="6" t="n">
        <v>2000</v>
      </c>
      <c r="D42" s="6" t="n">
        <v>5000</v>
      </c>
      <c r="E42" s="7" t="s">
        <v>49</v>
      </c>
      <c r="F42" s="7" t="s">
        <v>68</v>
      </c>
    </row>
    <row r="43" customFormat="false" ht="15" hidden="false" customHeight="false" outlineLevel="0" collapsed="false">
      <c r="A43" s="8" t="n">
        <v>2</v>
      </c>
      <c r="B43" s="8" t="s">
        <v>69</v>
      </c>
      <c r="C43" s="9" t="n">
        <v>0</v>
      </c>
      <c r="D43" s="9" t="n">
        <v>5000</v>
      </c>
      <c r="E43" s="10" t="s">
        <v>70</v>
      </c>
      <c r="F43" s="10" t="s">
        <v>71</v>
      </c>
    </row>
    <row r="44" customFormat="false" ht="15" hidden="false" customHeight="false" outlineLevel="0" collapsed="false">
      <c r="A44" s="5" t="n">
        <v>3</v>
      </c>
      <c r="B44" s="5" t="s">
        <v>72</v>
      </c>
      <c r="C44" s="6" t="n">
        <v>1500</v>
      </c>
      <c r="D44" s="6" t="n">
        <v>3000</v>
      </c>
      <c r="E44" s="7" t="s">
        <v>42</v>
      </c>
      <c r="F44" s="7" t="s">
        <v>73</v>
      </c>
    </row>
    <row r="45" customFormat="false" ht="15" hidden="false" customHeight="false" outlineLevel="0" collapsed="false">
      <c r="A45" s="8" t="n">
        <v>4</v>
      </c>
      <c r="B45" s="8" t="s">
        <v>74</v>
      </c>
      <c r="C45" s="9" t="n">
        <v>2000</v>
      </c>
      <c r="D45" s="9" t="n">
        <v>5000</v>
      </c>
      <c r="E45" s="10" t="s">
        <v>10</v>
      </c>
      <c r="F45" s="10" t="s">
        <v>75</v>
      </c>
    </row>
    <row r="46" customFormat="false" ht="15" hidden="false" customHeight="false" outlineLevel="0" collapsed="false">
      <c r="A46" s="5" t="n">
        <v>5</v>
      </c>
      <c r="B46" s="5" t="s">
        <v>76</v>
      </c>
      <c r="C46" s="6" t="n">
        <v>1000</v>
      </c>
      <c r="D46" s="6" t="n">
        <v>3000</v>
      </c>
      <c r="E46" s="7" t="s">
        <v>10</v>
      </c>
      <c r="F46" s="7" t="s">
        <v>77</v>
      </c>
    </row>
    <row r="47" customFormat="false" ht="15" hidden="false" customHeight="false" outlineLevel="0" collapsed="false">
      <c r="A47" s="8" t="n">
        <v>6</v>
      </c>
      <c r="B47" s="8" t="s">
        <v>78</v>
      </c>
      <c r="C47" s="9" t="n">
        <v>0</v>
      </c>
      <c r="D47" s="9" t="n">
        <v>500</v>
      </c>
      <c r="E47" s="10" t="s">
        <v>10</v>
      </c>
      <c r="F47" s="10" t="s">
        <v>79</v>
      </c>
    </row>
    <row r="48" customFormat="false" ht="15" hidden="false" customHeight="false" outlineLevel="0" collapsed="false">
      <c r="A48" s="5" t="n">
        <v>7</v>
      </c>
      <c r="B48" s="5" t="s">
        <v>80</v>
      </c>
      <c r="C48" s="6" t="n">
        <v>0</v>
      </c>
      <c r="D48" s="6" t="n">
        <v>0</v>
      </c>
      <c r="E48" s="7" t="s">
        <v>49</v>
      </c>
      <c r="F48" s="7" t="s">
        <v>81</v>
      </c>
    </row>
    <row r="49" customFormat="false" ht="15" hidden="false" customHeight="true" outlineLevel="0" collapsed="false">
      <c r="A49" s="11" t="s">
        <v>82</v>
      </c>
      <c r="B49" s="11"/>
      <c r="C49" s="12" t="n">
        <f aca="false">SUM(C42:C48)</f>
        <v>6500</v>
      </c>
      <c r="D49" s="12" t="n">
        <f aca="false">SUM(D42:D48)</f>
        <v>21500</v>
      </c>
      <c r="E49" s="13"/>
      <c r="F49" s="13"/>
    </row>
    <row r="51" customFormat="false" ht="16.15" hidden="false" customHeight="true" outlineLevel="0" collapsed="false">
      <c r="A51" s="14" t="s">
        <v>83</v>
      </c>
      <c r="B51" s="14"/>
      <c r="C51" s="14"/>
      <c r="D51" s="14"/>
      <c r="E51" s="14"/>
      <c r="F51" s="14"/>
    </row>
    <row r="52" customFormat="false" ht="15" hidden="false" customHeight="false" outlineLevel="0" collapsed="false">
      <c r="A52" s="4" t="s">
        <v>3</v>
      </c>
      <c r="B52" s="4" t="s">
        <v>4</v>
      </c>
      <c r="C52" s="4" t="s">
        <v>5</v>
      </c>
      <c r="D52" s="4" t="s">
        <v>6</v>
      </c>
      <c r="E52" s="4" t="s">
        <v>7</v>
      </c>
      <c r="F52" s="4" t="s">
        <v>8</v>
      </c>
    </row>
    <row r="53" customFormat="false" ht="15" hidden="false" customHeight="false" outlineLevel="0" collapsed="false">
      <c r="A53" s="5" t="n">
        <v>1</v>
      </c>
      <c r="B53" s="5" t="s">
        <v>84</v>
      </c>
      <c r="C53" s="6" t="n">
        <v>3000</v>
      </c>
      <c r="D53" s="6" t="n">
        <v>5000</v>
      </c>
      <c r="E53" s="7" t="s">
        <v>49</v>
      </c>
      <c r="F53" s="7" t="s">
        <v>85</v>
      </c>
    </row>
    <row r="54" customFormat="false" ht="15" hidden="false" customHeight="false" outlineLevel="0" collapsed="false">
      <c r="A54" s="8" t="n">
        <v>2</v>
      </c>
      <c r="B54" s="8" t="s">
        <v>86</v>
      </c>
      <c r="C54" s="9" t="n">
        <v>2000</v>
      </c>
      <c r="D54" s="9" t="n">
        <v>5000</v>
      </c>
      <c r="E54" s="10" t="s">
        <v>49</v>
      </c>
      <c r="F54" s="10" t="s">
        <v>87</v>
      </c>
    </row>
    <row r="55" customFormat="false" ht="15" hidden="false" customHeight="false" outlineLevel="0" collapsed="false">
      <c r="A55" s="5" t="n">
        <v>3</v>
      </c>
      <c r="B55" s="5" t="s">
        <v>88</v>
      </c>
      <c r="C55" s="6" t="n">
        <v>2000</v>
      </c>
      <c r="D55" s="6" t="n">
        <v>5000</v>
      </c>
      <c r="E55" s="7" t="s">
        <v>17</v>
      </c>
      <c r="F55" s="7" t="s">
        <v>89</v>
      </c>
    </row>
    <row r="56" customFormat="false" ht="15" hidden="false" customHeight="false" outlineLevel="0" collapsed="false">
      <c r="A56" s="8" t="n">
        <v>4</v>
      </c>
      <c r="B56" s="8" t="s">
        <v>90</v>
      </c>
      <c r="C56" s="9" t="n">
        <v>3000</v>
      </c>
      <c r="D56" s="9" t="n">
        <v>5000</v>
      </c>
      <c r="E56" s="10" t="s">
        <v>49</v>
      </c>
      <c r="F56" s="10" t="s">
        <v>91</v>
      </c>
    </row>
    <row r="57" customFormat="false" ht="15" hidden="false" customHeight="true" outlineLevel="0" collapsed="false">
      <c r="A57" s="11" t="s">
        <v>92</v>
      </c>
      <c r="B57" s="11"/>
      <c r="C57" s="12" t="n">
        <f aca="false">SUM(C53:C56)</f>
        <v>10000</v>
      </c>
      <c r="D57" s="12" t="n">
        <f aca="false">SUM(D53:D56)</f>
        <v>20000</v>
      </c>
      <c r="E57" s="13"/>
      <c r="F57" s="13"/>
    </row>
    <row r="59" customFormat="false" ht="16.15" hidden="false" customHeight="true" outlineLevel="0" collapsed="false">
      <c r="A59" s="15" t="s">
        <v>93</v>
      </c>
      <c r="B59" s="15"/>
      <c r="C59" s="15"/>
      <c r="D59" s="15"/>
      <c r="E59" s="15"/>
      <c r="F59" s="15"/>
    </row>
    <row r="60" customFormat="false" ht="15" hidden="false" customHeight="false" outlineLevel="0" collapsed="false">
      <c r="A60" s="4" t="s">
        <v>3</v>
      </c>
      <c r="B60" s="4" t="s">
        <v>4</v>
      </c>
      <c r="C60" s="4" t="s">
        <v>5</v>
      </c>
      <c r="D60" s="4" t="s">
        <v>6</v>
      </c>
      <c r="E60" s="4" t="s">
        <v>7</v>
      </c>
      <c r="F60" s="4" t="s">
        <v>8</v>
      </c>
    </row>
    <row r="61" customFormat="false" ht="15" hidden="false" customHeight="false" outlineLevel="0" collapsed="false">
      <c r="A61" s="5" t="n">
        <v>1</v>
      </c>
      <c r="B61" s="5" t="s">
        <v>94</v>
      </c>
      <c r="C61" s="6" t="n">
        <v>24000</v>
      </c>
      <c r="D61" s="6" t="n">
        <v>45000</v>
      </c>
      <c r="E61" s="7" t="s">
        <v>10</v>
      </c>
      <c r="F61" s="7" t="s">
        <v>95</v>
      </c>
    </row>
    <row r="62" customFormat="false" ht="15" hidden="false" customHeight="true" outlineLevel="0" collapsed="false">
      <c r="A62" s="11" t="s">
        <v>96</v>
      </c>
      <c r="B62" s="11"/>
      <c r="C62" s="12" t="n">
        <f aca="false">SUM(C61:C61)</f>
        <v>24000</v>
      </c>
      <c r="D62" s="12" t="n">
        <f aca="false">SUM(D61:D61)</f>
        <v>45000</v>
      </c>
      <c r="E62" s="13"/>
      <c r="F62" s="13"/>
    </row>
    <row r="64" customFormat="false" ht="29.85" hidden="false" customHeight="true" outlineLevel="0" collapsed="false">
      <c r="A64" s="16" t="s">
        <v>97</v>
      </c>
      <c r="B64" s="16"/>
      <c r="C64" s="17" t="n">
        <f aca="false">C15+C26+C38+C49+C57+C62</f>
        <v>184000</v>
      </c>
      <c r="D64" s="17" t="n">
        <f aca="false">D15+D26+D38+D49+D57+D62</f>
        <v>345400</v>
      </c>
      <c r="E64" s="18"/>
      <c r="F64" s="19" t="s">
        <v>98</v>
      </c>
    </row>
  </sheetData>
  <mergeCells count="15">
    <mergeCell ref="A1:F1"/>
    <mergeCell ref="A2:F2"/>
    <mergeCell ref="A4:F4"/>
    <mergeCell ref="A15:B15"/>
    <mergeCell ref="A17:F17"/>
    <mergeCell ref="A26:B26"/>
    <mergeCell ref="A28:F28"/>
    <mergeCell ref="A38:B38"/>
    <mergeCell ref="A40:F40"/>
    <mergeCell ref="A49:B49"/>
    <mergeCell ref="A51:F51"/>
    <mergeCell ref="A57:B57"/>
    <mergeCell ref="A59:F59"/>
    <mergeCell ref="A62:B62"/>
    <mergeCell ref="A64:B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87C"/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5" min="3" style="0" width="16"/>
    <col collapsed="false" customWidth="true" hidden="false" outlineLevel="0" max="6" min="6" style="0" width="42"/>
  </cols>
  <sheetData>
    <row r="1" customFormat="false" ht="19.7" hidden="false" customHeight="false" outlineLevel="0" collapsed="false">
      <c r="A1" s="20" t="s">
        <v>99</v>
      </c>
      <c r="B1" s="20"/>
      <c r="C1" s="20"/>
      <c r="D1" s="20"/>
      <c r="E1" s="20"/>
      <c r="F1" s="20"/>
    </row>
    <row r="2" customFormat="false" ht="15" hidden="false" customHeight="false" outlineLevel="0" collapsed="false">
      <c r="A2" s="2" t="s">
        <v>100</v>
      </c>
      <c r="B2" s="2"/>
      <c r="C2" s="2"/>
      <c r="D2" s="2"/>
      <c r="E2" s="2"/>
      <c r="F2" s="2"/>
    </row>
    <row r="4" customFormat="false" ht="16.15" hidden="false" customHeight="true" outlineLevel="0" collapsed="false">
      <c r="A4" s="3" t="s">
        <v>101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102</v>
      </c>
      <c r="F5" s="4" t="s">
        <v>103</v>
      </c>
    </row>
    <row r="6" customFormat="false" ht="15" hidden="false" customHeight="false" outlineLevel="0" collapsed="false">
      <c r="A6" s="5" t="n">
        <v>1</v>
      </c>
      <c r="B6" s="5" t="s">
        <v>104</v>
      </c>
      <c r="C6" s="6" t="n">
        <v>3000</v>
      </c>
      <c r="D6" s="6" t="n">
        <v>5000</v>
      </c>
      <c r="E6" s="7" t="s">
        <v>105</v>
      </c>
      <c r="F6" s="7" t="s">
        <v>106</v>
      </c>
    </row>
    <row r="7" customFormat="false" ht="15" hidden="false" customHeight="false" outlineLevel="0" collapsed="false">
      <c r="A7" s="8" t="n">
        <v>2</v>
      </c>
      <c r="B7" s="8" t="s">
        <v>107</v>
      </c>
      <c r="C7" s="9" t="n">
        <v>5000</v>
      </c>
      <c r="D7" s="9" t="n">
        <v>8000</v>
      </c>
      <c r="E7" s="10" t="s">
        <v>105</v>
      </c>
      <c r="F7" s="10" t="s">
        <v>108</v>
      </c>
    </row>
    <row r="8" customFormat="false" ht="15" hidden="false" customHeight="false" outlineLevel="0" collapsed="false">
      <c r="A8" s="5" t="n">
        <v>3</v>
      </c>
      <c r="B8" s="5" t="s">
        <v>109</v>
      </c>
      <c r="C8" s="6" t="n">
        <v>2000</v>
      </c>
      <c r="D8" s="6" t="n">
        <v>4000</v>
      </c>
      <c r="E8" s="7" t="s">
        <v>105</v>
      </c>
      <c r="F8" s="7" t="s">
        <v>110</v>
      </c>
    </row>
    <row r="9" customFormat="false" ht="23.85" hidden="false" customHeight="false" outlineLevel="0" collapsed="false">
      <c r="A9" s="8" t="n">
        <v>4</v>
      </c>
      <c r="B9" s="8" t="s">
        <v>111</v>
      </c>
      <c r="C9" s="9" t="n">
        <v>2000</v>
      </c>
      <c r="D9" s="9" t="n">
        <v>4000</v>
      </c>
      <c r="E9" s="10" t="s">
        <v>105</v>
      </c>
      <c r="F9" s="10" t="s">
        <v>112</v>
      </c>
    </row>
    <row r="10" customFormat="false" ht="15" hidden="false" customHeight="false" outlineLevel="0" collapsed="false">
      <c r="A10" s="5" t="n">
        <v>5</v>
      </c>
      <c r="B10" s="5" t="s">
        <v>113</v>
      </c>
      <c r="C10" s="6" t="n">
        <v>3000</v>
      </c>
      <c r="D10" s="6" t="n">
        <v>5000</v>
      </c>
      <c r="E10" s="7" t="s">
        <v>105</v>
      </c>
      <c r="F10" s="7" t="s">
        <v>114</v>
      </c>
    </row>
    <row r="11" customFormat="false" ht="15" hidden="false" customHeight="false" outlineLevel="0" collapsed="false">
      <c r="A11" s="8" t="n">
        <v>6</v>
      </c>
      <c r="B11" s="8" t="s">
        <v>115</v>
      </c>
      <c r="C11" s="9" t="n">
        <v>500</v>
      </c>
      <c r="D11" s="9" t="n">
        <v>1000</v>
      </c>
      <c r="E11" s="10" t="s">
        <v>105</v>
      </c>
      <c r="F11" s="10" t="s">
        <v>116</v>
      </c>
    </row>
    <row r="12" customFormat="false" ht="15" hidden="false" customHeight="false" outlineLevel="0" collapsed="false">
      <c r="A12" s="5" t="n">
        <v>7</v>
      </c>
      <c r="B12" s="5" t="s">
        <v>117</v>
      </c>
      <c r="C12" s="6" t="n">
        <v>2000</v>
      </c>
      <c r="D12" s="6" t="n">
        <v>4000</v>
      </c>
      <c r="E12" s="7" t="s">
        <v>105</v>
      </c>
      <c r="F12" s="7" t="s">
        <v>118</v>
      </c>
    </row>
    <row r="13" customFormat="false" ht="15" hidden="false" customHeight="false" outlineLevel="0" collapsed="false">
      <c r="A13" s="8" t="n">
        <v>8</v>
      </c>
      <c r="B13" s="8" t="s">
        <v>119</v>
      </c>
      <c r="C13" s="9" t="n">
        <v>0</v>
      </c>
      <c r="D13" s="9" t="n">
        <v>2000</v>
      </c>
      <c r="E13" s="10" t="s">
        <v>105</v>
      </c>
      <c r="F13" s="10" t="s">
        <v>120</v>
      </c>
    </row>
    <row r="14" customFormat="false" ht="23.85" hidden="false" customHeight="true" outlineLevel="0" collapsed="false">
      <c r="A14" s="11" t="s">
        <v>121</v>
      </c>
      <c r="B14" s="11"/>
      <c r="C14" s="12" t="n">
        <f aca="false">SUM(C6:C13)</f>
        <v>17500</v>
      </c>
      <c r="D14" s="12" t="n">
        <f aca="false">SUM(D6:D13)</f>
        <v>33000</v>
      </c>
      <c r="E14" s="13"/>
      <c r="F14" s="13"/>
    </row>
    <row r="16" customFormat="false" ht="16.15" hidden="false" customHeight="true" outlineLevel="0" collapsed="false">
      <c r="A16" s="14" t="s">
        <v>122</v>
      </c>
      <c r="B16" s="14"/>
      <c r="C16" s="14"/>
      <c r="D16" s="14"/>
      <c r="E16" s="14"/>
      <c r="F16" s="14"/>
    </row>
    <row r="17" customFormat="false" ht="15" hidden="false" customHeight="fals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102</v>
      </c>
      <c r="F17" s="4" t="s">
        <v>103</v>
      </c>
    </row>
    <row r="18" customFormat="false" ht="15" hidden="false" customHeight="false" outlineLevel="0" collapsed="false">
      <c r="A18" s="5" t="n">
        <v>1</v>
      </c>
      <c r="B18" s="5" t="s">
        <v>123</v>
      </c>
      <c r="C18" s="6" t="n">
        <v>4000</v>
      </c>
      <c r="D18" s="6" t="n">
        <v>6000</v>
      </c>
      <c r="E18" s="7" t="s">
        <v>105</v>
      </c>
      <c r="F18" s="7" t="s">
        <v>124</v>
      </c>
    </row>
    <row r="19" customFormat="false" ht="15" hidden="false" customHeight="false" outlineLevel="0" collapsed="false">
      <c r="A19" s="8" t="n">
        <v>2</v>
      </c>
      <c r="B19" s="8" t="s">
        <v>125</v>
      </c>
      <c r="C19" s="9" t="n">
        <v>1500</v>
      </c>
      <c r="D19" s="9" t="n">
        <v>2500</v>
      </c>
      <c r="E19" s="10" t="s">
        <v>105</v>
      </c>
      <c r="F19" s="10" t="s">
        <v>126</v>
      </c>
    </row>
    <row r="20" customFormat="false" ht="15" hidden="false" customHeight="false" outlineLevel="0" collapsed="false">
      <c r="A20" s="5" t="n">
        <v>3</v>
      </c>
      <c r="B20" s="5" t="s">
        <v>127</v>
      </c>
      <c r="C20" s="6" t="n">
        <v>800</v>
      </c>
      <c r="D20" s="6" t="n">
        <v>1200</v>
      </c>
      <c r="E20" s="7" t="s">
        <v>105</v>
      </c>
      <c r="F20" s="7" t="s">
        <v>128</v>
      </c>
    </row>
    <row r="21" customFormat="false" ht="15" hidden="false" customHeight="false" outlineLevel="0" collapsed="false">
      <c r="A21" s="8" t="n">
        <v>4</v>
      </c>
      <c r="B21" s="8" t="s">
        <v>129</v>
      </c>
      <c r="C21" s="9" t="n">
        <v>500</v>
      </c>
      <c r="D21" s="9" t="n">
        <v>1000</v>
      </c>
      <c r="E21" s="10" t="s">
        <v>105</v>
      </c>
      <c r="F21" s="10" t="s">
        <v>130</v>
      </c>
    </row>
    <row r="22" customFormat="false" ht="15" hidden="false" customHeight="false" outlineLevel="0" collapsed="false">
      <c r="A22" s="5" t="n">
        <v>5</v>
      </c>
      <c r="B22" s="5" t="s">
        <v>131</v>
      </c>
      <c r="C22" s="6" t="n">
        <v>200</v>
      </c>
      <c r="D22" s="6" t="n">
        <v>400</v>
      </c>
      <c r="E22" s="7" t="s">
        <v>105</v>
      </c>
      <c r="F22" s="7" t="s">
        <v>132</v>
      </c>
    </row>
    <row r="23" customFormat="false" ht="15" hidden="false" customHeight="true" outlineLevel="0" collapsed="false">
      <c r="A23" s="11" t="s">
        <v>133</v>
      </c>
      <c r="B23" s="11"/>
      <c r="C23" s="12" t="n">
        <f aca="false">SUM(C18:C22)</f>
        <v>7000</v>
      </c>
      <c r="D23" s="12" t="n">
        <f aca="false">SUM(D18:D22)</f>
        <v>11100</v>
      </c>
      <c r="E23" s="13"/>
      <c r="F23" s="13"/>
    </row>
    <row r="25" customFormat="false" ht="16.15" hidden="false" customHeight="true" outlineLevel="0" collapsed="false">
      <c r="A25" s="15" t="s">
        <v>134</v>
      </c>
      <c r="B25" s="15"/>
      <c r="C25" s="15"/>
      <c r="D25" s="15"/>
      <c r="E25" s="15"/>
      <c r="F25" s="15"/>
    </row>
    <row r="26" customFormat="false" ht="15" hidden="false" customHeight="false" outlineLevel="0" collapsed="false">
      <c r="A26" s="4" t="s">
        <v>3</v>
      </c>
      <c r="B26" s="4" t="s">
        <v>4</v>
      </c>
      <c r="C26" s="4" t="s">
        <v>5</v>
      </c>
      <c r="D26" s="4" t="s">
        <v>6</v>
      </c>
      <c r="E26" s="4" t="s">
        <v>102</v>
      </c>
      <c r="F26" s="4" t="s">
        <v>103</v>
      </c>
    </row>
    <row r="27" customFormat="false" ht="15" hidden="false" customHeight="false" outlineLevel="0" collapsed="false">
      <c r="A27" s="5" t="n">
        <v>1</v>
      </c>
      <c r="B27" s="5" t="s">
        <v>135</v>
      </c>
      <c r="C27" s="6" t="n">
        <v>8000</v>
      </c>
      <c r="D27" s="6" t="n">
        <v>15000</v>
      </c>
      <c r="E27" s="7" t="s">
        <v>105</v>
      </c>
      <c r="F27" s="7" t="s">
        <v>136</v>
      </c>
    </row>
    <row r="28" customFormat="false" ht="15" hidden="false" customHeight="false" outlineLevel="0" collapsed="false">
      <c r="A28" s="8" t="n">
        <v>2</v>
      </c>
      <c r="B28" s="8" t="s">
        <v>137</v>
      </c>
      <c r="C28" s="9" t="n">
        <v>2000</v>
      </c>
      <c r="D28" s="9" t="n">
        <v>4000</v>
      </c>
      <c r="E28" s="10" t="s">
        <v>105</v>
      </c>
      <c r="F28" s="10" t="s">
        <v>138</v>
      </c>
    </row>
    <row r="29" customFormat="false" ht="15" hidden="false" customHeight="false" outlineLevel="0" collapsed="false">
      <c r="A29" s="5" t="n">
        <v>3</v>
      </c>
      <c r="B29" s="5" t="s">
        <v>139</v>
      </c>
      <c r="C29" s="6" t="n">
        <v>500</v>
      </c>
      <c r="D29" s="6" t="n">
        <v>1000</v>
      </c>
      <c r="E29" s="7" t="s">
        <v>105</v>
      </c>
      <c r="F29" s="7" t="s">
        <v>140</v>
      </c>
    </row>
    <row r="30" customFormat="false" ht="15" hidden="false" customHeight="false" outlineLevel="0" collapsed="false">
      <c r="A30" s="8" t="n">
        <v>4</v>
      </c>
      <c r="B30" s="8" t="s">
        <v>141</v>
      </c>
      <c r="C30" s="9" t="n">
        <v>500</v>
      </c>
      <c r="D30" s="9" t="n">
        <v>800</v>
      </c>
      <c r="E30" s="10" t="s">
        <v>105</v>
      </c>
      <c r="F30" s="10" t="s">
        <v>142</v>
      </c>
    </row>
    <row r="31" customFormat="false" ht="15" hidden="false" customHeight="true" outlineLevel="0" collapsed="false">
      <c r="A31" s="11" t="s">
        <v>143</v>
      </c>
      <c r="B31" s="11"/>
      <c r="C31" s="12" t="n">
        <f aca="false">SUM(C27:C30)</f>
        <v>11000</v>
      </c>
      <c r="D31" s="12" t="n">
        <f aca="false">SUM(D27:D30)</f>
        <v>20800</v>
      </c>
      <c r="E31" s="13"/>
      <c r="F31" s="13"/>
    </row>
    <row r="33" customFormat="false" ht="16.15" hidden="false" customHeight="true" outlineLevel="0" collapsed="false">
      <c r="A33" s="3" t="s">
        <v>144</v>
      </c>
      <c r="B33" s="3"/>
      <c r="C33" s="3"/>
      <c r="D33" s="3"/>
      <c r="E33" s="3"/>
      <c r="F33" s="3"/>
    </row>
    <row r="34" customFormat="false" ht="15" hidden="false" customHeight="false" outlineLevel="0" collapsed="false">
      <c r="A34" s="4" t="s">
        <v>3</v>
      </c>
      <c r="B34" s="4" t="s">
        <v>4</v>
      </c>
      <c r="C34" s="4" t="s">
        <v>5</v>
      </c>
      <c r="D34" s="4" t="s">
        <v>6</v>
      </c>
      <c r="E34" s="4" t="s">
        <v>102</v>
      </c>
      <c r="F34" s="4" t="s">
        <v>103</v>
      </c>
    </row>
    <row r="35" customFormat="false" ht="15" hidden="false" customHeight="false" outlineLevel="0" collapsed="false">
      <c r="A35" s="5" t="n">
        <v>1</v>
      </c>
      <c r="B35" s="5" t="s">
        <v>145</v>
      </c>
      <c r="C35" s="6" t="n">
        <v>10000</v>
      </c>
      <c r="D35" s="6" t="n">
        <v>12000</v>
      </c>
      <c r="E35" s="7" t="s">
        <v>105</v>
      </c>
      <c r="F35" s="7" t="s">
        <v>146</v>
      </c>
    </row>
    <row r="36" customFormat="false" ht="15" hidden="false" customHeight="false" outlineLevel="0" collapsed="false">
      <c r="A36" s="8" t="n">
        <v>2</v>
      </c>
      <c r="B36" s="8" t="s">
        <v>147</v>
      </c>
      <c r="C36" s="9" t="n">
        <v>0</v>
      </c>
      <c r="D36" s="9" t="n">
        <v>12000</v>
      </c>
      <c r="E36" s="10" t="s">
        <v>105</v>
      </c>
      <c r="F36" s="10" t="s">
        <v>148</v>
      </c>
    </row>
    <row r="37" customFormat="false" ht="15" hidden="false" customHeight="false" outlineLevel="0" collapsed="false">
      <c r="A37" s="5" t="n">
        <v>3</v>
      </c>
      <c r="B37" s="5" t="s">
        <v>149</v>
      </c>
      <c r="C37" s="6" t="n">
        <v>8000</v>
      </c>
      <c r="D37" s="6" t="n">
        <v>10000</v>
      </c>
      <c r="E37" s="7" t="s">
        <v>105</v>
      </c>
      <c r="F37" s="7" t="s">
        <v>150</v>
      </c>
    </row>
    <row r="38" customFormat="false" ht="15" hidden="false" customHeight="true" outlineLevel="0" collapsed="false">
      <c r="A38" s="11" t="s">
        <v>151</v>
      </c>
      <c r="B38" s="11"/>
      <c r="C38" s="12" t="n">
        <f aca="false">SUM(C35:C37)</f>
        <v>18000</v>
      </c>
      <c r="D38" s="12" t="n">
        <f aca="false">SUM(D35:D37)</f>
        <v>34000</v>
      </c>
      <c r="E38" s="13"/>
      <c r="F38" s="13"/>
    </row>
    <row r="40" customFormat="false" ht="16.15" hidden="false" customHeight="true" outlineLevel="0" collapsed="false">
      <c r="A40" s="14" t="s">
        <v>152</v>
      </c>
      <c r="B40" s="14"/>
      <c r="C40" s="14"/>
      <c r="D40" s="14"/>
      <c r="E40" s="14"/>
      <c r="F40" s="14"/>
    </row>
    <row r="41" customFormat="false" ht="15" hidden="false" customHeight="fals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102</v>
      </c>
      <c r="F41" s="4" t="s">
        <v>103</v>
      </c>
    </row>
    <row r="42" customFormat="false" ht="15" hidden="false" customHeight="false" outlineLevel="0" collapsed="false">
      <c r="A42" s="5" t="n">
        <v>1</v>
      </c>
      <c r="B42" s="5" t="s">
        <v>153</v>
      </c>
      <c r="C42" s="6" t="n">
        <v>3000</v>
      </c>
      <c r="D42" s="6" t="n">
        <v>8000</v>
      </c>
      <c r="E42" s="7" t="s">
        <v>105</v>
      </c>
      <c r="F42" s="7" t="s">
        <v>154</v>
      </c>
    </row>
    <row r="43" customFormat="false" ht="15" hidden="false" customHeight="false" outlineLevel="0" collapsed="false">
      <c r="A43" s="8" t="n">
        <v>2</v>
      </c>
      <c r="B43" s="8" t="s">
        <v>155</v>
      </c>
      <c r="C43" s="9" t="n">
        <v>1000</v>
      </c>
      <c r="D43" s="9" t="n">
        <v>3000</v>
      </c>
      <c r="E43" s="10" t="s">
        <v>105</v>
      </c>
      <c r="F43" s="10" t="s">
        <v>156</v>
      </c>
    </row>
    <row r="44" customFormat="false" ht="15" hidden="false" customHeight="false" outlineLevel="0" collapsed="false">
      <c r="A44" s="5" t="n">
        <v>3</v>
      </c>
      <c r="B44" s="5" t="s">
        <v>157</v>
      </c>
      <c r="C44" s="6" t="n">
        <v>500</v>
      </c>
      <c r="D44" s="6" t="n">
        <v>1000</v>
      </c>
      <c r="E44" s="7" t="s">
        <v>105</v>
      </c>
      <c r="F44" s="7" t="s">
        <v>158</v>
      </c>
    </row>
    <row r="45" customFormat="false" ht="15" hidden="false" customHeight="true" outlineLevel="0" collapsed="false">
      <c r="A45" s="11" t="s">
        <v>159</v>
      </c>
      <c r="B45" s="11"/>
      <c r="C45" s="12" t="n">
        <f aca="false">SUM(C42:C44)</f>
        <v>4500</v>
      </c>
      <c r="D45" s="12" t="n">
        <f aca="false">SUM(D42:D44)</f>
        <v>12000</v>
      </c>
      <c r="E45" s="13"/>
      <c r="F45" s="13"/>
    </row>
    <row r="47" customFormat="false" ht="16.15" hidden="false" customHeight="true" outlineLevel="0" collapsed="false">
      <c r="A47" s="15" t="s">
        <v>160</v>
      </c>
      <c r="B47" s="15"/>
      <c r="C47" s="15"/>
      <c r="D47" s="15"/>
      <c r="E47" s="15"/>
      <c r="F47" s="15"/>
    </row>
    <row r="48" customFormat="false" ht="15" hidden="false" customHeight="false" outlineLevel="0" collapsed="false">
      <c r="A48" s="4" t="s">
        <v>3</v>
      </c>
      <c r="B48" s="4" t="s">
        <v>4</v>
      </c>
      <c r="C48" s="4" t="s">
        <v>5</v>
      </c>
      <c r="D48" s="4" t="s">
        <v>6</v>
      </c>
      <c r="E48" s="4" t="s">
        <v>102</v>
      </c>
      <c r="F48" s="4" t="s">
        <v>103</v>
      </c>
    </row>
    <row r="49" customFormat="false" ht="15" hidden="false" customHeight="false" outlineLevel="0" collapsed="false">
      <c r="A49" s="5" t="n">
        <v>1</v>
      </c>
      <c r="B49" s="5" t="s">
        <v>161</v>
      </c>
      <c r="C49" s="6" t="n">
        <v>500</v>
      </c>
      <c r="D49" s="6" t="n">
        <v>1000</v>
      </c>
      <c r="E49" s="7" t="s">
        <v>105</v>
      </c>
      <c r="F49" s="7" t="s">
        <v>162</v>
      </c>
    </row>
    <row r="50" customFormat="false" ht="15" hidden="false" customHeight="false" outlineLevel="0" collapsed="false">
      <c r="A50" s="8" t="n">
        <v>2</v>
      </c>
      <c r="B50" s="8" t="s">
        <v>163</v>
      </c>
      <c r="C50" s="9" t="n">
        <v>500</v>
      </c>
      <c r="D50" s="9" t="n">
        <v>1500</v>
      </c>
      <c r="E50" s="10" t="s">
        <v>105</v>
      </c>
      <c r="F50" s="10" t="s">
        <v>164</v>
      </c>
    </row>
    <row r="51" customFormat="false" ht="15" hidden="false" customHeight="false" outlineLevel="0" collapsed="false">
      <c r="A51" s="5" t="n">
        <v>3</v>
      </c>
      <c r="B51" s="5" t="s">
        <v>165</v>
      </c>
      <c r="C51" s="6" t="n">
        <v>500</v>
      </c>
      <c r="D51" s="6" t="n">
        <v>1000</v>
      </c>
      <c r="E51" s="7" t="s">
        <v>105</v>
      </c>
      <c r="F51" s="7" t="s">
        <v>166</v>
      </c>
    </row>
    <row r="52" customFormat="false" ht="15" hidden="false" customHeight="true" outlineLevel="0" collapsed="false">
      <c r="A52" s="11" t="s">
        <v>167</v>
      </c>
      <c r="B52" s="11"/>
      <c r="C52" s="12" t="n">
        <f aca="false">SUM(C49:C51)</f>
        <v>1500</v>
      </c>
      <c r="D52" s="12" t="n">
        <f aca="false">SUM(D49:D51)</f>
        <v>3500</v>
      </c>
      <c r="E52" s="13"/>
      <c r="F52" s="13"/>
    </row>
    <row r="54" customFormat="false" ht="16.15" hidden="false" customHeight="false" outlineLevel="0" collapsed="false">
      <c r="A54" s="18" t="s">
        <v>168</v>
      </c>
      <c r="B54" s="18"/>
      <c r="C54" s="17" t="n">
        <f aca="false">C14+C23+C31+C38+C45+C52</f>
        <v>59500</v>
      </c>
      <c r="D54" s="17" t="n">
        <f aca="false">D14+D23+D31+D38+D45+D52</f>
        <v>114400</v>
      </c>
      <c r="E54" s="18" t="s">
        <v>105</v>
      </c>
      <c r="F54" s="18" t="s">
        <v>169</v>
      </c>
    </row>
  </sheetData>
  <mergeCells count="15">
    <mergeCell ref="A1:F1"/>
    <mergeCell ref="A2:F2"/>
    <mergeCell ref="A4:F4"/>
    <mergeCell ref="A14:B14"/>
    <mergeCell ref="A16:F16"/>
    <mergeCell ref="A23:B23"/>
    <mergeCell ref="A25:F25"/>
    <mergeCell ref="A31:B31"/>
    <mergeCell ref="A33:F33"/>
    <mergeCell ref="A38:B38"/>
    <mergeCell ref="A40:F40"/>
    <mergeCell ref="A45:B45"/>
    <mergeCell ref="A47:F47"/>
    <mergeCell ref="A52:B52"/>
    <mergeCell ref="A54:B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87C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20" t="s">
        <v>170</v>
      </c>
      <c r="B1" s="20"/>
      <c r="C1" s="20"/>
      <c r="D1" s="20"/>
      <c r="E1" s="20"/>
      <c r="F1" s="20"/>
    </row>
    <row r="2" customFormat="false" ht="15" hidden="false" customHeight="false" outlineLevel="0" collapsed="false">
      <c r="A2" s="2" t="s">
        <v>171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3</v>
      </c>
      <c r="B4" s="4" t="s">
        <v>172</v>
      </c>
      <c r="C4" s="4" t="s">
        <v>173</v>
      </c>
      <c r="D4" s="4" t="s">
        <v>174</v>
      </c>
      <c r="E4" s="4" t="s">
        <v>175</v>
      </c>
      <c r="F4" s="4" t="s">
        <v>103</v>
      </c>
    </row>
    <row r="5" customFormat="false" ht="15" hidden="false" customHeight="false" outlineLevel="0" collapsed="false">
      <c r="A5" s="5" t="n">
        <v>1</v>
      </c>
      <c r="B5" s="5" t="s">
        <v>176</v>
      </c>
      <c r="C5" s="6" t="n">
        <v>4</v>
      </c>
      <c r="D5" s="6" t="n">
        <v>6</v>
      </c>
      <c r="E5" s="6" t="n">
        <v>8</v>
      </c>
      <c r="F5" s="7" t="s">
        <v>177</v>
      </c>
    </row>
    <row r="6" customFormat="false" ht="15" hidden="false" customHeight="false" outlineLevel="0" collapsed="false">
      <c r="A6" s="8" t="n">
        <v>2</v>
      </c>
      <c r="B6" s="8" t="s">
        <v>178</v>
      </c>
      <c r="C6" s="9" t="n">
        <v>8</v>
      </c>
      <c r="D6" s="9" t="n">
        <v>10</v>
      </c>
      <c r="E6" s="9" t="n">
        <v>12</v>
      </c>
      <c r="F6" s="10" t="s">
        <v>179</v>
      </c>
    </row>
    <row r="7" customFormat="false" ht="15" hidden="false" customHeight="false" outlineLevel="0" collapsed="false">
      <c r="A7" s="5" t="n">
        <v>3</v>
      </c>
      <c r="B7" s="5" t="s">
        <v>180</v>
      </c>
      <c r="C7" s="6" t="n">
        <v>5</v>
      </c>
      <c r="D7" s="6" t="n">
        <v>7</v>
      </c>
      <c r="E7" s="6" t="n">
        <v>10</v>
      </c>
      <c r="F7" s="7" t="s">
        <v>181</v>
      </c>
    </row>
    <row r="8" customFormat="false" ht="15" hidden="false" customHeight="false" outlineLevel="0" collapsed="false">
      <c r="A8" s="8" t="n">
        <v>4</v>
      </c>
      <c r="B8" s="8" t="s">
        <v>182</v>
      </c>
      <c r="C8" s="9" t="n">
        <v>5</v>
      </c>
      <c r="D8" s="9" t="n">
        <v>7</v>
      </c>
      <c r="E8" s="9" t="n">
        <v>10</v>
      </c>
      <c r="F8" s="10" t="s">
        <v>183</v>
      </c>
    </row>
    <row r="9" customFormat="false" ht="15" hidden="false" customHeight="false" outlineLevel="0" collapsed="false">
      <c r="A9" s="5" t="n">
        <v>5</v>
      </c>
      <c r="B9" s="5" t="s">
        <v>115</v>
      </c>
      <c r="C9" s="6" t="n">
        <v>1</v>
      </c>
      <c r="D9" s="6" t="n">
        <v>1</v>
      </c>
      <c r="E9" s="6" t="n">
        <v>2</v>
      </c>
      <c r="F9" s="7" t="s">
        <v>184</v>
      </c>
    </row>
    <row r="10" customFormat="false" ht="15" hidden="false" customHeight="false" outlineLevel="0" collapsed="false">
      <c r="A10" s="8" t="n">
        <v>6</v>
      </c>
      <c r="B10" s="8" t="s">
        <v>185</v>
      </c>
      <c r="C10" s="9" t="n">
        <v>1</v>
      </c>
      <c r="D10" s="9" t="n">
        <v>1</v>
      </c>
      <c r="E10" s="9" t="n">
        <v>2</v>
      </c>
      <c r="F10" s="10" t="s">
        <v>186</v>
      </c>
    </row>
    <row r="11" customFormat="false" ht="15" hidden="false" customHeight="false" outlineLevel="0" collapsed="false">
      <c r="A11" s="5" t="n">
        <v>7</v>
      </c>
      <c r="B11" s="5" t="s">
        <v>187</v>
      </c>
      <c r="C11" s="6" t="n">
        <v>4</v>
      </c>
      <c r="D11" s="6" t="n">
        <v>5</v>
      </c>
      <c r="E11" s="6" t="n">
        <v>6</v>
      </c>
      <c r="F11" s="7" t="s">
        <v>188</v>
      </c>
    </row>
    <row r="12" customFormat="false" ht="15" hidden="false" customHeight="false" outlineLevel="0" collapsed="false">
      <c r="A12" s="8" t="n">
        <v>8</v>
      </c>
      <c r="B12" s="8" t="s">
        <v>189</v>
      </c>
      <c r="C12" s="9" t="n">
        <v>1</v>
      </c>
      <c r="D12" s="9" t="n">
        <v>1</v>
      </c>
      <c r="E12" s="9" t="n">
        <v>1</v>
      </c>
      <c r="F12" s="10" t="s">
        <v>190</v>
      </c>
    </row>
    <row r="13" customFormat="false" ht="15" hidden="false" customHeight="false" outlineLevel="0" collapsed="false">
      <c r="A13" s="5" t="n">
        <v>9</v>
      </c>
      <c r="B13" s="5" t="s">
        <v>191</v>
      </c>
      <c r="C13" s="6" t="n">
        <v>1</v>
      </c>
      <c r="D13" s="6" t="n">
        <v>1</v>
      </c>
      <c r="E13" s="6" t="n">
        <v>1</v>
      </c>
      <c r="F13" s="7" t="s">
        <v>192</v>
      </c>
    </row>
    <row r="14" customFormat="false" ht="15" hidden="false" customHeight="false" outlineLevel="0" collapsed="false">
      <c r="A14" s="8" t="n">
        <v>10</v>
      </c>
      <c r="B14" s="8" t="s">
        <v>193</v>
      </c>
      <c r="C14" s="9" t="n">
        <v>1</v>
      </c>
      <c r="D14" s="9" t="n">
        <v>1</v>
      </c>
      <c r="E14" s="9" t="n">
        <v>1</v>
      </c>
      <c r="F14" s="10" t="s">
        <v>194</v>
      </c>
    </row>
    <row r="15" customFormat="false" ht="15" hidden="false" customHeight="true" outlineLevel="0" collapsed="false">
      <c r="A15" s="11" t="s">
        <v>195</v>
      </c>
      <c r="B15" s="11"/>
      <c r="C15" s="12" t="n">
        <f aca="false">SUM(C5:C14)</f>
        <v>31</v>
      </c>
      <c r="D15" s="12" t="n">
        <f aca="false">SUM(D5:D14)</f>
        <v>40</v>
      </c>
      <c r="E15" s="12" t="n">
        <f aca="false">SUM(E5:E14)</f>
        <v>53</v>
      </c>
      <c r="F15" s="13"/>
    </row>
    <row r="17" customFormat="false" ht="15" hidden="false" customHeight="true" outlineLevel="0" collapsed="false">
      <c r="A17" s="5" t="s">
        <v>196</v>
      </c>
      <c r="B17" s="5"/>
      <c r="C17" s="6" t="n">
        <v>150</v>
      </c>
      <c r="D17" s="6" t="n">
        <v>200</v>
      </c>
      <c r="E17" s="6" t="n">
        <v>250</v>
      </c>
      <c r="F17" s="7" t="s">
        <v>197</v>
      </c>
    </row>
    <row r="18" customFormat="false" ht="15" hidden="false" customHeight="true" outlineLevel="0" collapsed="false">
      <c r="A18" s="5" t="s">
        <v>198</v>
      </c>
      <c r="B18" s="5"/>
      <c r="C18" s="6" t="n">
        <f aca="false">C17-C15</f>
        <v>119</v>
      </c>
      <c r="D18" s="6" t="n">
        <f aca="false">D17-D15</f>
        <v>160</v>
      </c>
      <c r="E18" s="6" t="n">
        <f aca="false">E17-E15</f>
        <v>197</v>
      </c>
      <c r="F18" s="7" t="s">
        <v>199</v>
      </c>
    </row>
    <row r="19" customFormat="false" ht="15" hidden="false" customHeight="true" outlineLevel="0" collapsed="false">
      <c r="A19" s="11" t="s">
        <v>200</v>
      </c>
      <c r="B19" s="11"/>
      <c r="C19" s="21" t="n">
        <f aca="false">C18/C17</f>
        <v>0.793333333333333</v>
      </c>
      <c r="D19" s="21" t="n">
        <f aca="false">D18/D17</f>
        <v>0.8</v>
      </c>
      <c r="E19" s="21" t="n">
        <f aca="false">E18/E17</f>
        <v>0.788</v>
      </c>
      <c r="F19" s="13" t="s">
        <v>201</v>
      </c>
    </row>
    <row r="21" customFormat="false" ht="15" hidden="false" customHeight="false" outlineLevel="0" collapsed="false">
      <c r="A21" s="2" t="s">
        <v>202</v>
      </c>
      <c r="B21" s="2"/>
      <c r="C21" s="2"/>
      <c r="D21" s="2"/>
      <c r="E21" s="2"/>
      <c r="F21" s="2"/>
    </row>
  </sheetData>
  <mergeCells count="7">
    <mergeCell ref="A1:F1"/>
    <mergeCell ref="A2:F2"/>
    <mergeCell ref="A15:B15"/>
    <mergeCell ref="A17:B17"/>
    <mergeCell ref="A18:B18"/>
    <mergeCell ref="A19:B19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2026-02-23T06:28:29Z</dcterms:created>
  <dc:creator>openpyxl</dc:creator>
  <dc:description/>
  <dc:language>en-US</dc:language>
  <cp:lastModifiedBy/>
  <dcterms:modified xsi:type="dcterms:W3CDTF">2026-02-23T06:28:29Z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