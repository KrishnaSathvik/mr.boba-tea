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redient Costs" sheetId="1" state="visible" r:id="rId3"/>
    <sheet name="Cost Per Drink" sheetId="2" state="visible" r:id="rId4"/>
    <sheet name="Margin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<sst xmlns="http://schemas.openxmlformats.org/spreadsheetml/2006/main" count="154" uniqueCount="114">
  <si>
    <t xml:space="preserve">MR. BOBA TEA — Ingredient Unit Costs</t>
  </si>
  <si>
    <t xml:space="preserve">Based on market prices as of Feb 2026 | All unlabeled items = Tea Planet</t>
  </si>
  <si>
    <t xml:space="preserve">Ingredient</t>
  </si>
  <si>
    <t xml:space="preserve">Supplier Price</t>
  </si>
  <si>
    <t xml:space="preserve">Unit</t>
  </si>
  <si>
    <t xml:space="preserve">Cost Per Serving</t>
  </si>
  <si>
    <t xml:space="preserve">Notes</t>
  </si>
  <si>
    <t xml:space="preserve">DAIRY &amp; BASE</t>
  </si>
  <si>
    <t xml:space="preserve">Full Cream Milk (Amul Gold / Vijaya)</t>
  </si>
  <si>
    <t xml:space="preserve">per litre</t>
  </si>
  <si>
    <t xml:space="preserve">~150ml per milk tea drink</t>
  </si>
  <si>
    <t xml:space="preserve">Fresh Curd / Yogurt</t>
  </si>
  <si>
    <t xml:space="preserve">per kg</t>
  </si>
  <si>
    <t xml:space="preserve">~200ml per lassi</t>
  </si>
  <si>
    <t xml:space="preserve">Assam Black Tea Leaves (CTC)</t>
  </si>
  <si>
    <t xml:space="preserve">~5g per batch serving | Local kirana</t>
  </si>
  <si>
    <t xml:space="preserve">Jasmine Green Tea</t>
  </si>
  <si>
    <t xml:space="preserve">~5g per batch serving | Amazon/Tea Planet</t>
  </si>
  <si>
    <t xml:space="preserve">Sugar</t>
  </si>
  <si>
    <t xml:space="preserve">~30g per drink</t>
  </si>
  <si>
    <t xml:space="preserve">Ice</t>
  </si>
  <si>
    <t xml:space="preserve">~500g per drink</t>
  </si>
  <si>
    <t xml:space="preserve">MILK TEA FLAVOR POWDERS</t>
  </si>
  <si>
    <t xml:space="preserve">Tea Planet Premix (1kg) — Pina Colada, Coffee Mocha, Blueberry, Chocolate, Taro</t>
  </si>
  <si>
    <t xml:space="preserve">15g/drink = ~66 drinks/kg | Tea Planet</t>
  </si>
  <si>
    <t xml:space="preserve">QQS Powder (1kg) — Mango, Strawberry, Butterscotch, Papaya, Honeydew</t>
  </si>
  <si>
    <t xml:space="preserve">15g/drink = ~66 drinks/kg | QQS</t>
  </si>
  <si>
    <t xml:space="preserve">Zawaa Matcha Powder (1kg)</t>
  </si>
  <si>
    <t xml:space="preserve">15g/drink (est.) | Zawaa</t>
  </si>
  <si>
    <t xml:space="preserve">FRUIT TEA SYRUPS</t>
  </si>
  <si>
    <t xml:space="preserve">Fruit Syrup (1kg) — Honeydew, Orange, Dragon Fruit, Mango, Passion Fruit, Strawberry</t>
  </si>
  <si>
    <t xml:space="preserve">~20ml per drink | Supplier TBD</t>
  </si>
  <si>
    <t xml:space="preserve">LASSI FLAVORS</t>
  </si>
  <si>
    <t xml:space="preserve">Rose Syrup (Rooh Afza)</t>
  </si>
  <si>
    <t xml:space="preserve">~20ml per drink | Local</t>
  </si>
  <si>
    <t xml:space="preserve">Pistachio / Mango / Banana Flavor</t>
  </si>
  <si>
    <t xml:space="preserve">~20g per drink | Tea Planet</t>
  </si>
  <si>
    <t xml:space="preserve">TOPPINGS</t>
  </si>
  <si>
    <t xml:space="preserve">Tapioca Pearls — Black &amp; Tutti Fruiti</t>
  </si>
  <si>
    <t xml:space="preserve">~25g dry per drink | Tea Planet</t>
  </si>
  <si>
    <t xml:space="preserve">Popping Boba (1kg) — Lychee, Black Currant, Mango, Blueberry, Strawberry</t>
  </si>
  <si>
    <t xml:space="preserve">~25g per drink | Tea Planet</t>
  </si>
  <si>
    <t xml:space="preserve">Jelly Toppings (1kg) — Strawberry, Pineapple, Lychee</t>
  </si>
  <si>
    <t xml:space="preserve">~25g per drink | Zawaa</t>
  </si>
  <si>
    <t xml:space="preserve">PACKAGING</t>
  </si>
  <si>
    <t xml:space="preserve">Cup + Lid (Small 400ml)</t>
  </si>
  <si>
    <t xml:space="preserve">per piece</t>
  </si>
  <si>
    <t xml:space="preserve">Disposable plastic</t>
  </si>
  <si>
    <t xml:space="preserve">Cup + Lid (Regular 500ml)</t>
  </si>
  <si>
    <t xml:space="preserve">Wide Boba Straw</t>
  </si>
  <si>
    <t xml:space="preserve">Required for boba</t>
  </si>
  <si>
    <t xml:space="preserve">Sealing Film (optional)</t>
  </si>
  <si>
    <t xml:space="preserve">If using cup sealer machine</t>
  </si>
  <si>
    <t xml:space="preserve">MR. BOBA TEA — Cost Per Drink Breakdown (FINAL PRICING)</t>
  </si>
  <si>
    <t xml:space="preserve">All costs in ₹ | Feb 2026</t>
  </si>
  <si>
    <t xml:space="preserve">A. FLAVORED MILK TEA (11 flavors)</t>
  </si>
  <si>
    <t xml:space="preserve">Component</t>
  </si>
  <si>
    <t xml:space="preserve">Small</t>
  </si>
  <si>
    <t xml:space="preserve">Regular</t>
  </si>
  <si>
    <t xml:space="preserve">Brewed Assam Black Tea</t>
  </si>
  <si>
    <t xml:space="preserve">Flavor Powder (avg across suppliers)</t>
  </si>
  <si>
    <t xml:space="preserve">Tea Planet ~₹22, QQS ~₹6, Zawaa ~₹9 per serving</t>
  </si>
  <si>
    <t xml:space="preserve">Full Cream Milk</t>
  </si>
  <si>
    <t xml:space="preserve">100ml small / 150ml regular</t>
  </si>
  <si>
    <t xml:space="preserve">Tapioca Pearls (default topping)</t>
  </si>
  <si>
    <t xml:space="preserve">Cup + Lid + Straw</t>
  </si>
  <si>
    <t xml:space="preserve">TOTAL COST</t>
  </si>
  <si>
    <t xml:space="preserve">SELLING PRICE</t>
  </si>
  <si>
    <t xml:space="preserve">PROFIT PER DRINK</t>
  </si>
  <si>
    <t xml:space="preserve">PROFIT MARGIN %</t>
  </si>
  <si>
    <t xml:space="preserve">B. FRUIT TEA (6 flavors) — NO DAIRY</t>
  </si>
  <si>
    <t xml:space="preserve">Small (₹119)</t>
  </si>
  <si>
    <t xml:space="preserve">Regular (₹169)</t>
  </si>
  <si>
    <t xml:space="preserve">Brewed Jasmine Green Tea</t>
  </si>
  <si>
    <t xml:space="preserve">Green tea slightly more expensive than black</t>
  </si>
  <si>
    <t xml:space="preserve">Fruit Syrup</t>
  </si>
  <si>
    <t xml:space="preserve">~20-25ml per drink</t>
  </si>
  <si>
    <t xml:space="preserve">C. BOBA LASSI (5 flavors) — ₹129</t>
  </si>
  <si>
    <t xml:space="preserve">One Size (₹129)</t>
  </si>
  <si>
    <t xml:space="preserve">Fresh Curd / Yogurt (~200ml)</t>
  </si>
  <si>
    <t xml:space="preserve">Most expensive base ingredient</t>
  </si>
  <si>
    <t xml:space="preserve">Flavor Syrup / Pulp (avg)</t>
  </si>
  <si>
    <t xml:space="preserve">Plain ₹0, Rose ₹4, Mango/Pistachio/Banana ~₹8</t>
  </si>
  <si>
    <t xml:space="preserve">Popping Boba (included by default)</t>
  </si>
  <si>
    <t xml:space="preserve">Biggest cost component</t>
  </si>
  <si>
    <t xml:space="preserve">MR. BOBA TEA — Final Pricing &amp; Margin Summary</t>
  </si>
  <si>
    <t xml:space="preserve">Updated: Feb 2026 | Fruit Tea Option C + Lassi ₹129</t>
  </si>
  <si>
    <t xml:space="preserve">Product</t>
  </si>
  <si>
    <t xml:space="preserve">Sell Price</t>
  </si>
  <si>
    <t xml:space="preserve">Est. Cost</t>
  </si>
  <si>
    <t xml:space="preserve">Profit</t>
  </si>
  <si>
    <t xml:space="preserve">Margin %</t>
  </si>
  <si>
    <t xml:space="preserve">Milk Tea — Small</t>
  </si>
  <si>
    <t xml:space="preserve">Best seller expected</t>
  </si>
  <si>
    <t xml:space="preserve">Milk Tea — Regular</t>
  </si>
  <si>
    <t xml:space="preserve">Premium upsell</t>
  </si>
  <si>
    <t xml:space="preserve">Fruit Tea — Small</t>
  </si>
  <si>
    <t xml:space="preserve">Cheapest item after lassi, attracts new customers</t>
  </si>
  <si>
    <t xml:space="preserve">Fruit Tea — Regular</t>
  </si>
  <si>
    <t xml:space="preserve">Good margin despite lower price</t>
  </si>
  <si>
    <t xml:space="preserve">Boba Lassi</t>
  </si>
  <si>
    <t xml:space="preserve">Gateway product, now healthier margin at ₹129</t>
  </si>
  <si>
    <t xml:space="preserve">FINAL PRICE LADDER: ₹119 (Fruit Small) → ₹129 (Lassi) → ₹149 (Milk Tea Small) → ₹169 (Fruit Reg) → ₹199 (Milk Tea Reg)</t>
  </si>
  <si>
    <t xml:space="preserve">DAILY REVENUE PROJECTIONS (30 drinks/day avg)</t>
  </si>
  <si>
    <t xml:space="preserve">Scenario</t>
  </si>
  <si>
    <t xml:space="preserve">Drinks/Day</t>
  </si>
  <si>
    <t xml:space="preserve">Avg Price</t>
  </si>
  <si>
    <t xml:space="preserve">Daily Revenue</t>
  </si>
  <si>
    <t xml:space="preserve">Daily Profit</t>
  </si>
  <si>
    <t xml:space="preserve">Monthly Profit (30 days)</t>
  </si>
  <si>
    <t xml:space="preserve">Conservative</t>
  </si>
  <si>
    <t xml:space="preserve">Moderate</t>
  </si>
  <si>
    <t xml:space="preserve">Optimistic</t>
  </si>
  <si>
    <t xml:space="preserve">Note: Daily profit assumes ~70% gross margin (avg across all products). Does not include rent, electricity, staff costs.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</si>
</sst>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67E22"/>
      <name val="Arial"/>
      <family val="0"/>
      <charset val="1"/>
    </font>
    <font>
      <i val="true"/>
      <sz val="10"/>
      <color rgb="FF95A5A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3"/>
      <color rgb="FFE67E2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2E86C1"/>
      <name val="Arial"/>
      <family val="0"/>
      <charset val="1"/>
    </font>
    <font>
      <b val="true"/>
      <sz val="13"/>
      <color rgb="FF27AE60"/>
      <name val="Arial"/>
      <family val="0"/>
      <charset val="1"/>
    </font>
    <font>
      <b val="true"/>
      <sz val="13"/>
      <color rgb="FF8E44AD"/>
      <name val="Arial"/>
      <family val="0"/>
      <charset val="1"/>
    </font>
    <font>
      <b val="true"/>
      <sz val="10"/>
      <color rgb="FF2E86C1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3"/>
      <color rgb="FF2C3E50"/>
      <name val="Arial"/>
      <family val="0"/>
      <charset val="1"/>
    </font>
    <font>
      <b val="true"/>
      <sz val="10"/>
      <color rgb="FF27AE6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D6EAF8"/>
        <bgColor rgb="FFD5F5E3"/>
      </patternFill>
    </fill>
    <fill>
      <patternFill patternType="solid">
        <fgColor rgb="FFF2F3F4"/>
        <bgColor rgb="FFF5EEF8"/>
      </patternFill>
    </fill>
    <fill>
      <patternFill patternType="solid">
        <fgColor rgb="FFFCF3CF"/>
        <bgColor rgb="FFFDEBD0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CF3CF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FADBD8"/>
      </patternFill>
    </fill>
    <fill>
      <patternFill patternType="solid">
        <fgColor rgb="FFF5EEF8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8C8D"/>
      <rgbColor rgb="FF9999FF"/>
      <rgbColor rgb="FF8E44AD"/>
      <rgbColor rgb="FFFCF3CF"/>
      <rgbColor rgb="FFD6EA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F5EEF8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E67E22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s">
        <v>8</v>
      </c>
      <c r="B6" s="6" t="n">
        <v>70</v>
      </c>
      <c r="C6" s="5" t="s">
        <v>9</v>
      </c>
      <c r="D6" s="7" t="n">
        <v>10.5</v>
      </c>
      <c r="E6" s="8" t="s">
        <v>10</v>
      </c>
    </row>
    <row r="7" customFormat="false" ht="15" hidden="false" customHeight="false" outlineLevel="0" collapsed="false">
      <c r="A7" s="9" t="s">
        <v>11</v>
      </c>
      <c r="B7" s="10" t="n">
        <v>60</v>
      </c>
      <c r="C7" s="9" t="s">
        <v>12</v>
      </c>
      <c r="D7" s="11" t="n">
        <v>12</v>
      </c>
      <c r="E7" s="12" t="s">
        <v>13</v>
      </c>
    </row>
    <row r="8" customFormat="false" ht="15" hidden="false" customHeight="false" outlineLevel="0" collapsed="false">
      <c r="A8" s="5" t="s">
        <v>14</v>
      </c>
      <c r="B8" s="6" t="n">
        <v>300</v>
      </c>
      <c r="C8" s="5" t="s">
        <v>12</v>
      </c>
      <c r="D8" s="7" t="n">
        <v>1.5</v>
      </c>
      <c r="E8" s="8" t="s">
        <v>15</v>
      </c>
    </row>
    <row r="9" customFormat="false" ht="15" hidden="false" customHeight="false" outlineLevel="0" collapsed="false">
      <c r="A9" s="9" t="s">
        <v>16</v>
      </c>
      <c r="B9" s="10" t="n">
        <v>600</v>
      </c>
      <c r="C9" s="9" t="s">
        <v>12</v>
      </c>
      <c r="D9" s="11" t="n">
        <v>3</v>
      </c>
      <c r="E9" s="12" t="s">
        <v>17</v>
      </c>
    </row>
    <row r="10" customFormat="false" ht="15" hidden="false" customHeight="false" outlineLevel="0" collapsed="false">
      <c r="A10" s="5" t="s">
        <v>18</v>
      </c>
      <c r="B10" s="6" t="n">
        <v>45</v>
      </c>
      <c r="C10" s="5" t="s">
        <v>12</v>
      </c>
      <c r="D10" s="7" t="n">
        <v>1.5</v>
      </c>
      <c r="E10" s="8" t="s">
        <v>19</v>
      </c>
    </row>
    <row r="11" customFormat="false" ht="15" hidden="false" customHeight="false" outlineLevel="0" collapsed="false">
      <c r="A11" s="9" t="s">
        <v>20</v>
      </c>
      <c r="B11" s="10" t="n">
        <v>5</v>
      </c>
      <c r="C11" s="9" t="s">
        <v>12</v>
      </c>
      <c r="D11" s="11" t="n">
        <v>2.5</v>
      </c>
      <c r="E11" s="12" t="s">
        <v>21</v>
      </c>
    </row>
    <row r="12" customFormat="false" ht="15" hidden="false" customHeight="false" outlineLevel="0" collapsed="false">
      <c r="A12" s="13" t="s">
        <v>22</v>
      </c>
      <c r="B12" s="13"/>
      <c r="C12" s="13"/>
      <c r="D12" s="13"/>
      <c r="E12" s="13"/>
    </row>
    <row r="13" customFormat="false" ht="15" hidden="false" customHeight="false" outlineLevel="0" collapsed="false">
      <c r="A13" s="9" t="s">
        <v>23</v>
      </c>
      <c r="B13" s="10" t="n">
        <v>1499</v>
      </c>
      <c r="C13" s="9" t="s">
        <v>12</v>
      </c>
      <c r="D13" s="11" t="n">
        <v>22.49</v>
      </c>
      <c r="E13" s="12" t="s">
        <v>24</v>
      </c>
    </row>
    <row r="14" customFormat="false" ht="15" hidden="false" customHeight="false" outlineLevel="0" collapsed="false">
      <c r="A14" s="5" t="s">
        <v>25</v>
      </c>
      <c r="B14" s="6" t="n">
        <v>400</v>
      </c>
      <c r="C14" s="5" t="s">
        <v>12</v>
      </c>
      <c r="D14" s="7" t="n">
        <v>6</v>
      </c>
      <c r="E14" s="8" t="s">
        <v>26</v>
      </c>
    </row>
    <row r="15" customFormat="false" ht="15" hidden="false" customHeight="false" outlineLevel="0" collapsed="false">
      <c r="A15" s="9" t="s">
        <v>27</v>
      </c>
      <c r="B15" s="10" t="n">
        <v>600</v>
      </c>
      <c r="C15" s="9" t="s">
        <v>12</v>
      </c>
      <c r="D15" s="11" t="n">
        <v>9</v>
      </c>
      <c r="E15" s="12" t="s">
        <v>28</v>
      </c>
    </row>
    <row r="16" customFormat="false" ht="15" hidden="false" customHeight="false" outlineLevel="0" collapsed="false">
      <c r="A16" s="14" t="s">
        <v>29</v>
      </c>
      <c r="B16" s="14"/>
      <c r="C16" s="14"/>
      <c r="D16" s="14"/>
      <c r="E16" s="14"/>
    </row>
    <row r="17" customFormat="false" ht="15" hidden="false" customHeight="false" outlineLevel="0" collapsed="false">
      <c r="A17" s="9" t="s">
        <v>30</v>
      </c>
      <c r="B17" s="10" t="n">
        <v>500</v>
      </c>
      <c r="C17" s="9" t="s">
        <v>12</v>
      </c>
      <c r="D17" s="11" t="n">
        <v>10</v>
      </c>
      <c r="E17" s="12" t="s">
        <v>31</v>
      </c>
    </row>
    <row r="18" customFormat="false" ht="15" hidden="false" customHeight="false" outlineLevel="0" collapsed="false">
      <c r="A18" s="15" t="s">
        <v>32</v>
      </c>
      <c r="B18" s="15"/>
      <c r="C18" s="15"/>
      <c r="D18" s="15"/>
      <c r="E18" s="15"/>
    </row>
    <row r="19" customFormat="false" ht="15" hidden="false" customHeight="false" outlineLevel="0" collapsed="false">
      <c r="A19" s="9" t="s">
        <v>33</v>
      </c>
      <c r="B19" s="10" t="n">
        <v>200</v>
      </c>
      <c r="C19" s="9" t="s">
        <v>9</v>
      </c>
      <c r="D19" s="11" t="n">
        <v>4</v>
      </c>
      <c r="E19" s="12" t="s">
        <v>34</v>
      </c>
    </row>
    <row r="20" customFormat="false" ht="15" hidden="false" customHeight="false" outlineLevel="0" collapsed="false">
      <c r="A20" s="5" t="s">
        <v>35</v>
      </c>
      <c r="B20" s="6" t="n">
        <v>400</v>
      </c>
      <c r="C20" s="5" t="s">
        <v>12</v>
      </c>
      <c r="D20" s="7" t="n">
        <v>8</v>
      </c>
      <c r="E20" s="8" t="s">
        <v>36</v>
      </c>
    </row>
    <row r="21" customFormat="false" ht="15" hidden="false" customHeight="false" outlineLevel="0" collapsed="false">
      <c r="A21" s="16" t="s">
        <v>37</v>
      </c>
      <c r="B21" s="16"/>
      <c r="C21" s="16"/>
      <c r="D21" s="16"/>
      <c r="E21" s="16"/>
    </row>
    <row r="22" customFormat="false" ht="15" hidden="false" customHeight="false" outlineLevel="0" collapsed="false">
      <c r="A22" s="5" t="s">
        <v>38</v>
      </c>
      <c r="B22" s="6" t="n">
        <v>300</v>
      </c>
      <c r="C22" s="5" t="s">
        <v>12</v>
      </c>
      <c r="D22" s="7" t="n">
        <v>7.5</v>
      </c>
      <c r="E22" s="8" t="s">
        <v>39</v>
      </c>
    </row>
    <row r="23" customFormat="false" ht="15" hidden="false" customHeight="false" outlineLevel="0" collapsed="false">
      <c r="A23" s="9" t="s">
        <v>40</v>
      </c>
      <c r="B23" s="10" t="n">
        <v>649</v>
      </c>
      <c r="C23" s="9" t="s">
        <v>12</v>
      </c>
      <c r="D23" s="11" t="n">
        <v>16.23</v>
      </c>
      <c r="E23" s="12" t="s">
        <v>41</v>
      </c>
    </row>
    <row r="24" customFormat="false" ht="15" hidden="false" customHeight="false" outlineLevel="0" collapsed="false">
      <c r="A24" s="5" t="s">
        <v>42</v>
      </c>
      <c r="B24" s="6" t="n">
        <v>500</v>
      </c>
      <c r="C24" s="5" t="s">
        <v>12</v>
      </c>
      <c r="D24" s="7" t="n">
        <v>12.5</v>
      </c>
      <c r="E24" s="8" t="s">
        <v>43</v>
      </c>
    </row>
    <row r="25" customFormat="false" ht="15" hidden="false" customHeight="false" outlineLevel="0" collapsed="false">
      <c r="A25" s="17" t="s">
        <v>44</v>
      </c>
      <c r="B25" s="17"/>
      <c r="C25" s="17"/>
      <c r="D25" s="17"/>
      <c r="E25" s="17"/>
    </row>
    <row r="26" customFormat="false" ht="15" hidden="false" customHeight="false" outlineLevel="0" collapsed="false">
      <c r="A26" s="5" t="s">
        <v>45</v>
      </c>
      <c r="B26" s="6" t="n">
        <v>5</v>
      </c>
      <c r="C26" s="5" t="s">
        <v>46</v>
      </c>
      <c r="D26" s="7" t="n">
        <v>5</v>
      </c>
      <c r="E26" s="8" t="s">
        <v>47</v>
      </c>
    </row>
    <row r="27" customFormat="false" ht="15" hidden="false" customHeight="false" outlineLevel="0" collapsed="false">
      <c r="A27" s="9" t="s">
        <v>48</v>
      </c>
      <c r="B27" s="10" t="n">
        <v>6</v>
      </c>
      <c r="C27" s="9" t="s">
        <v>46</v>
      </c>
      <c r="D27" s="11" t="n">
        <v>6</v>
      </c>
      <c r="E27" s="12" t="s">
        <v>47</v>
      </c>
    </row>
    <row r="28" customFormat="false" ht="15" hidden="false" customHeight="false" outlineLevel="0" collapsed="false">
      <c r="A28" s="5" t="s">
        <v>49</v>
      </c>
      <c r="B28" s="6" t="n">
        <v>2</v>
      </c>
      <c r="C28" s="5" t="s">
        <v>46</v>
      </c>
      <c r="D28" s="7" t="n">
        <v>2</v>
      </c>
      <c r="E28" s="8" t="s">
        <v>50</v>
      </c>
    </row>
    <row r="29" customFormat="false" ht="15" hidden="false" customHeight="false" outlineLevel="0" collapsed="false">
      <c r="A29" s="9" t="s">
        <v>51</v>
      </c>
      <c r="B29" s="10" t="n">
        <v>1.5</v>
      </c>
      <c r="C29" s="9" t="s">
        <v>46</v>
      </c>
      <c r="D29" s="11" t="n">
        <v>1.5</v>
      </c>
      <c r="E29" s="12" t="s">
        <v>52</v>
      </c>
    </row>
  </sheetData>
  <mergeCells count="8">
    <mergeCell ref="A1:E1"/>
    <mergeCell ref="A2:E2"/>
    <mergeCell ref="A5:E5"/>
    <mergeCell ref="A12:E12"/>
    <mergeCell ref="A16:E16"/>
    <mergeCell ref="A18:E18"/>
    <mergeCell ref="A21:E21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35"/>
  </cols>
  <sheetData>
    <row r="1" customFormat="false" ht="19.7" hidden="false" customHeight="false" outlineLevel="0" collapsed="false">
      <c r="A1" s="1" t="s">
        <v>53</v>
      </c>
      <c r="B1" s="1"/>
      <c r="C1" s="1"/>
      <c r="D1" s="1"/>
    </row>
    <row r="2" customFormat="false" ht="15" hidden="false" customHeight="false" outlineLevel="0" collapsed="false">
      <c r="A2" s="2" t="s">
        <v>54</v>
      </c>
      <c r="B2" s="2"/>
      <c r="C2" s="2"/>
      <c r="D2" s="2"/>
    </row>
    <row r="4" customFormat="false" ht="16.15" hidden="false" customHeight="false" outlineLevel="0" collapsed="false">
      <c r="A4" s="18" t="s">
        <v>55</v>
      </c>
      <c r="B4" s="18"/>
      <c r="C4" s="18"/>
      <c r="D4" s="18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6</v>
      </c>
    </row>
    <row r="6" customFormat="false" ht="15" hidden="false" customHeight="false" outlineLevel="0" collapsed="false">
      <c r="A6" s="9" t="s">
        <v>59</v>
      </c>
      <c r="B6" s="10" t="n">
        <v>1.5</v>
      </c>
      <c r="C6" s="10" t="n">
        <v>2</v>
      </c>
      <c r="D6" s="12"/>
    </row>
    <row r="7" customFormat="false" ht="15" hidden="false" customHeight="false" outlineLevel="0" collapsed="false">
      <c r="A7" s="9" t="s">
        <v>60</v>
      </c>
      <c r="B7" s="10" t="n">
        <v>12</v>
      </c>
      <c r="C7" s="10" t="n">
        <v>15</v>
      </c>
      <c r="D7" s="12" t="s">
        <v>61</v>
      </c>
    </row>
    <row r="8" customFormat="false" ht="15" hidden="false" customHeight="false" outlineLevel="0" collapsed="false">
      <c r="A8" s="9" t="s">
        <v>62</v>
      </c>
      <c r="B8" s="10" t="n">
        <v>7</v>
      </c>
      <c r="C8" s="10" t="n">
        <v>10.5</v>
      </c>
      <c r="D8" s="12" t="s">
        <v>63</v>
      </c>
    </row>
    <row r="9" customFormat="false" ht="15" hidden="false" customHeight="false" outlineLevel="0" collapsed="false">
      <c r="A9" s="9" t="s">
        <v>18</v>
      </c>
      <c r="B9" s="10" t="n">
        <v>1</v>
      </c>
      <c r="C9" s="10" t="n">
        <v>1.5</v>
      </c>
      <c r="D9" s="12"/>
    </row>
    <row r="10" customFormat="false" ht="15" hidden="false" customHeight="false" outlineLevel="0" collapsed="false">
      <c r="A10" s="9" t="s">
        <v>20</v>
      </c>
      <c r="B10" s="10" t="n">
        <v>2</v>
      </c>
      <c r="C10" s="10" t="n">
        <v>2.5</v>
      </c>
      <c r="D10" s="12"/>
    </row>
    <row r="11" customFormat="false" ht="15" hidden="false" customHeight="false" outlineLevel="0" collapsed="false">
      <c r="A11" s="9" t="s">
        <v>64</v>
      </c>
      <c r="B11" s="10" t="n">
        <v>7.5</v>
      </c>
      <c r="C11" s="10" t="n">
        <v>7.5</v>
      </c>
      <c r="D11" s="12"/>
    </row>
    <row r="12" customFormat="false" ht="15" hidden="false" customHeight="false" outlineLevel="0" collapsed="false">
      <c r="A12" s="9" t="s">
        <v>65</v>
      </c>
      <c r="B12" s="10" t="n">
        <v>7</v>
      </c>
      <c r="C12" s="10" t="n">
        <v>8</v>
      </c>
      <c r="D12" s="12"/>
    </row>
    <row r="13" customFormat="false" ht="15" hidden="false" customHeight="false" outlineLevel="0" collapsed="false">
      <c r="A13" s="19" t="s">
        <v>66</v>
      </c>
      <c r="B13" s="20" t="n">
        <f aca="false">SUM(B6:B12)</f>
        <v>38</v>
      </c>
      <c r="C13" s="20" t="n">
        <f aca="false">SUM(C6:C12)</f>
        <v>47</v>
      </c>
    </row>
    <row r="14" customFormat="false" ht="15" hidden="false" customHeight="false" outlineLevel="0" collapsed="false">
      <c r="A14" s="21" t="s">
        <v>67</v>
      </c>
      <c r="B14" s="22" t="n">
        <v>149</v>
      </c>
      <c r="C14" s="22" t="n">
        <v>199</v>
      </c>
    </row>
    <row r="15" customFormat="false" ht="15" hidden="false" customHeight="false" outlineLevel="0" collapsed="false">
      <c r="A15" s="23" t="s">
        <v>68</v>
      </c>
      <c r="B15" s="24" t="n">
        <f aca="false">B14-B13</f>
        <v>111</v>
      </c>
      <c r="C15" s="24" t="n">
        <f aca="false">C14-C13</f>
        <v>152</v>
      </c>
    </row>
    <row r="16" customFormat="false" ht="15" hidden="false" customHeight="false" outlineLevel="0" collapsed="false">
      <c r="A16" s="25" t="s">
        <v>69</v>
      </c>
      <c r="B16" s="26" t="n">
        <f aca="false">B15/B14</f>
        <v>0.74496644295302</v>
      </c>
      <c r="C16" s="26" t="n">
        <f aca="false">C15/C14</f>
        <v>0.763819095477387</v>
      </c>
    </row>
    <row r="18" customFormat="false" ht="16.15" hidden="false" customHeight="false" outlineLevel="0" collapsed="false">
      <c r="A18" s="27" t="s">
        <v>70</v>
      </c>
      <c r="B18" s="27"/>
      <c r="C18" s="27"/>
      <c r="D18" s="27"/>
    </row>
    <row r="19" customFormat="false" ht="15" hidden="false" customHeight="false" outlineLevel="0" collapsed="false">
      <c r="A19" s="3" t="s">
        <v>56</v>
      </c>
      <c r="B19" s="3" t="s">
        <v>71</v>
      </c>
      <c r="C19" s="3" t="s">
        <v>72</v>
      </c>
      <c r="D19" s="3" t="s">
        <v>6</v>
      </c>
    </row>
    <row r="20" customFormat="false" ht="15" hidden="false" customHeight="false" outlineLevel="0" collapsed="false">
      <c r="A20" s="9" t="s">
        <v>73</v>
      </c>
      <c r="B20" s="10" t="n">
        <v>3</v>
      </c>
      <c r="C20" s="10" t="n">
        <v>3.5</v>
      </c>
      <c r="D20" s="12" t="s">
        <v>74</v>
      </c>
    </row>
    <row r="21" customFormat="false" ht="15" hidden="false" customHeight="false" outlineLevel="0" collapsed="false">
      <c r="A21" s="9" t="s">
        <v>75</v>
      </c>
      <c r="B21" s="10" t="n">
        <v>10</v>
      </c>
      <c r="C21" s="10" t="n">
        <v>12.5</v>
      </c>
      <c r="D21" s="12" t="s">
        <v>76</v>
      </c>
    </row>
    <row r="22" customFormat="false" ht="15" hidden="false" customHeight="false" outlineLevel="0" collapsed="false">
      <c r="A22" s="9" t="s">
        <v>18</v>
      </c>
      <c r="B22" s="10" t="n">
        <v>1</v>
      </c>
      <c r="C22" s="10" t="n">
        <v>1.5</v>
      </c>
      <c r="D22" s="12"/>
    </row>
    <row r="23" customFormat="false" ht="15" hidden="false" customHeight="false" outlineLevel="0" collapsed="false">
      <c r="A23" s="9" t="s">
        <v>20</v>
      </c>
      <c r="B23" s="10" t="n">
        <v>2</v>
      </c>
      <c r="C23" s="10" t="n">
        <v>2.5</v>
      </c>
      <c r="D23" s="12"/>
    </row>
    <row r="24" customFormat="false" ht="15" hidden="false" customHeight="false" outlineLevel="0" collapsed="false">
      <c r="A24" s="9" t="s">
        <v>64</v>
      </c>
      <c r="B24" s="10" t="n">
        <v>7.5</v>
      </c>
      <c r="C24" s="10" t="n">
        <v>7.5</v>
      </c>
      <c r="D24" s="12"/>
    </row>
    <row r="25" customFormat="false" ht="15" hidden="false" customHeight="false" outlineLevel="0" collapsed="false">
      <c r="A25" s="9" t="s">
        <v>65</v>
      </c>
      <c r="B25" s="10" t="n">
        <v>7</v>
      </c>
      <c r="C25" s="10" t="n">
        <v>8</v>
      </c>
      <c r="D25" s="12"/>
    </row>
    <row r="26" customFormat="false" ht="15" hidden="false" customHeight="false" outlineLevel="0" collapsed="false">
      <c r="A26" s="28" t="s">
        <v>66</v>
      </c>
      <c r="B26" s="29" t="n">
        <f aca="false">SUM(B20:B25)</f>
        <v>30.5</v>
      </c>
      <c r="C26" s="29" t="n">
        <f aca="false">SUM(C20:C25)</f>
        <v>35.5</v>
      </c>
    </row>
    <row r="27" customFormat="false" ht="15" hidden="false" customHeight="false" outlineLevel="0" collapsed="false">
      <c r="A27" s="21" t="s">
        <v>67</v>
      </c>
      <c r="B27" s="22" t="n">
        <v>119</v>
      </c>
      <c r="C27" s="22" t="n">
        <v>169</v>
      </c>
    </row>
    <row r="28" customFormat="false" ht="15" hidden="false" customHeight="false" outlineLevel="0" collapsed="false">
      <c r="A28" s="23" t="s">
        <v>68</v>
      </c>
      <c r="B28" s="24" t="n">
        <f aca="false">B27-B26</f>
        <v>88.5</v>
      </c>
      <c r="C28" s="24" t="n">
        <f aca="false">C27-C26</f>
        <v>133.5</v>
      </c>
    </row>
    <row r="29" customFormat="false" ht="15" hidden="false" customHeight="false" outlineLevel="0" collapsed="false">
      <c r="A29" s="25" t="s">
        <v>69</v>
      </c>
      <c r="B29" s="26" t="n">
        <f aca="false">B28/B27</f>
        <v>0.743697478991597</v>
      </c>
      <c r="C29" s="26" t="n">
        <f aca="false">C28/C27</f>
        <v>0.789940828402367</v>
      </c>
    </row>
    <row r="31" customFormat="false" ht="16.15" hidden="false" customHeight="false" outlineLevel="0" collapsed="false">
      <c r="A31" s="30" t="s">
        <v>77</v>
      </c>
      <c r="B31" s="30"/>
      <c r="C31" s="30"/>
      <c r="D31" s="30"/>
    </row>
    <row r="32" customFormat="false" ht="15" hidden="false" customHeight="false" outlineLevel="0" collapsed="false">
      <c r="A32" s="3" t="s">
        <v>56</v>
      </c>
      <c r="B32" s="3" t="s">
        <v>78</v>
      </c>
      <c r="C32" s="3"/>
      <c r="D32" s="3" t="s">
        <v>6</v>
      </c>
    </row>
    <row r="33" customFormat="false" ht="15" hidden="false" customHeight="false" outlineLevel="0" collapsed="false">
      <c r="A33" s="9" t="s">
        <v>79</v>
      </c>
      <c r="B33" s="10" t="n">
        <v>12</v>
      </c>
      <c r="D33" s="31" t="s">
        <v>80</v>
      </c>
    </row>
    <row r="34" customFormat="false" ht="15" hidden="false" customHeight="false" outlineLevel="0" collapsed="false">
      <c r="A34" s="9" t="s">
        <v>81</v>
      </c>
      <c r="B34" s="10" t="n">
        <v>6</v>
      </c>
      <c r="D34" s="31" t="s">
        <v>82</v>
      </c>
    </row>
    <row r="35" customFormat="false" ht="15" hidden="false" customHeight="false" outlineLevel="0" collapsed="false">
      <c r="A35" s="9" t="s">
        <v>18</v>
      </c>
      <c r="B35" s="10" t="n">
        <v>1.5</v>
      </c>
      <c r="D35" s="31"/>
    </row>
    <row r="36" customFormat="false" ht="15" hidden="false" customHeight="false" outlineLevel="0" collapsed="false">
      <c r="A36" s="9" t="s">
        <v>20</v>
      </c>
      <c r="B36" s="10" t="n">
        <v>2.5</v>
      </c>
      <c r="D36" s="31"/>
    </row>
    <row r="37" customFormat="false" ht="15" hidden="false" customHeight="false" outlineLevel="0" collapsed="false">
      <c r="A37" s="9" t="s">
        <v>83</v>
      </c>
      <c r="B37" s="10" t="n">
        <v>16.23</v>
      </c>
      <c r="D37" s="31" t="s">
        <v>84</v>
      </c>
    </row>
    <row r="38" customFormat="false" ht="15" hidden="false" customHeight="false" outlineLevel="0" collapsed="false">
      <c r="A38" s="9" t="s">
        <v>65</v>
      </c>
      <c r="B38" s="10" t="n">
        <v>7</v>
      </c>
      <c r="D38" s="31"/>
    </row>
    <row r="39" customFormat="false" ht="15" hidden="false" customHeight="false" outlineLevel="0" collapsed="false">
      <c r="A39" s="32" t="s">
        <v>66</v>
      </c>
      <c r="B39" s="33" t="n">
        <f aca="false">SUM(B33:B38)</f>
        <v>45.23</v>
      </c>
    </row>
    <row r="40" customFormat="false" ht="15" hidden="false" customHeight="false" outlineLevel="0" collapsed="false">
      <c r="A40" s="21" t="s">
        <v>67</v>
      </c>
      <c r="B40" s="22" t="n">
        <v>129</v>
      </c>
    </row>
    <row r="41" customFormat="false" ht="15" hidden="false" customHeight="false" outlineLevel="0" collapsed="false">
      <c r="A41" s="23" t="s">
        <v>68</v>
      </c>
      <c r="B41" s="24" t="n">
        <f aca="false">B40-B39</f>
        <v>83.77</v>
      </c>
    </row>
    <row r="42" customFormat="false" ht="15" hidden="false" customHeight="false" outlineLevel="0" collapsed="false">
      <c r="A42" s="25" t="s">
        <v>69</v>
      </c>
      <c r="B42" s="26" t="n">
        <f aca="false">B41/B40</f>
        <v>0.64937984496124</v>
      </c>
    </row>
  </sheetData>
  <mergeCells count="5">
    <mergeCell ref="A1:D1"/>
    <mergeCell ref="A2:D2"/>
    <mergeCell ref="A4:D4"/>
    <mergeCell ref="A18:D18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16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" t="s">
        <v>85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86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6</v>
      </c>
    </row>
    <row r="5" customFormat="false" ht="15" hidden="false" customHeight="false" outlineLevel="0" collapsed="false">
      <c r="A5" s="25" t="s">
        <v>92</v>
      </c>
      <c r="B5" s="10" t="n">
        <v>149</v>
      </c>
      <c r="C5" s="10" t="n">
        <v>38</v>
      </c>
      <c r="D5" s="34" t="n">
        <f aca="false">B5-C5</f>
        <v>111</v>
      </c>
      <c r="E5" s="26" t="n">
        <f aca="false">D5/B5</f>
        <v>0.74496644295302</v>
      </c>
      <c r="F5" s="12" t="s">
        <v>93</v>
      </c>
    </row>
    <row r="6" customFormat="false" ht="15" hidden="false" customHeight="false" outlineLevel="0" collapsed="false">
      <c r="A6" s="35" t="s">
        <v>94</v>
      </c>
      <c r="B6" s="6" t="n">
        <v>199</v>
      </c>
      <c r="C6" s="6" t="n">
        <v>47</v>
      </c>
      <c r="D6" s="36" t="n">
        <f aca="false">B6-C6</f>
        <v>152</v>
      </c>
      <c r="E6" s="37" t="n">
        <f aca="false">D6/B6</f>
        <v>0.763819095477387</v>
      </c>
      <c r="F6" s="8" t="s">
        <v>95</v>
      </c>
    </row>
    <row r="7" customFormat="false" ht="15" hidden="false" customHeight="false" outlineLevel="0" collapsed="false">
      <c r="A7" s="25" t="s">
        <v>96</v>
      </c>
      <c r="B7" s="10" t="n">
        <v>119</v>
      </c>
      <c r="C7" s="10" t="n">
        <v>30.5</v>
      </c>
      <c r="D7" s="34" t="n">
        <f aca="false">B7-C7</f>
        <v>88.5</v>
      </c>
      <c r="E7" s="26" t="n">
        <f aca="false">D7/B7</f>
        <v>0.743697478991597</v>
      </c>
      <c r="F7" s="12" t="s">
        <v>97</v>
      </c>
    </row>
    <row r="8" customFormat="false" ht="15" hidden="false" customHeight="false" outlineLevel="0" collapsed="false">
      <c r="A8" s="35" t="s">
        <v>98</v>
      </c>
      <c r="B8" s="6" t="n">
        <v>169</v>
      </c>
      <c r="C8" s="6" t="n">
        <v>35.5</v>
      </c>
      <c r="D8" s="36" t="n">
        <f aca="false">B8-C8</f>
        <v>133.5</v>
      </c>
      <c r="E8" s="37" t="n">
        <f aca="false">D8/B8</f>
        <v>0.789940828402367</v>
      </c>
      <c r="F8" s="8" t="s">
        <v>99</v>
      </c>
    </row>
    <row r="9" customFormat="false" ht="15" hidden="false" customHeight="false" outlineLevel="0" collapsed="false">
      <c r="A9" s="25" t="s">
        <v>100</v>
      </c>
      <c r="B9" s="10" t="n">
        <v>129</v>
      </c>
      <c r="C9" s="10" t="n">
        <v>45.23</v>
      </c>
      <c r="D9" s="34" t="n">
        <f aca="false">B9-C9</f>
        <v>83.77</v>
      </c>
      <c r="E9" s="26" t="n">
        <f aca="false">D9/B9</f>
        <v>0.64937984496124</v>
      </c>
      <c r="F9" s="12" t="s">
        <v>101</v>
      </c>
    </row>
    <row r="11" customFormat="false" ht="15" hidden="false" customHeight="false" outlineLevel="0" collapsed="false">
      <c r="A11" s="38" t="s">
        <v>102</v>
      </c>
      <c r="B11" s="38"/>
      <c r="C11" s="38"/>
      <c r="D11" s="38"/>
      <c r="E11" s="38"/>
      <c r="F11" s="38"/>
    </row>
    <row r="13" customFormat="false" ht="16.15" hidden="false" customHeight="false" outlineLevel="0" collapsed="false">
      <c r="A13" s="39" t="s">
        <v>103</v>
      </c>
      <c r="B13" s="39"/>
      <c r="C13" s="39"/>
      <c r="D13" s="39"/>
      <c r="E13" s="39"/>
      <c r="F13" s="39"/>
    </row>
    <row r="14" customFormat="false" ht="15" hidden="false" customHeight="false" outlineLevel="0" collapsed="false">
      <c r="A14" s="3" t="s">
        <v>104</v>
      </c>
      <c r="B14" s="3" t="s">
        <v>105</v>
      </c>
      <c r="C14" s="3" t="s">
        <v>106</v>
      </c>
      <c r="D14" s="3" t="s">
        <v>107</v>
      </c>
      <c r="E14" s="3" t="s">
        <v>108</v>
      </c>
      <c r="F14" s="3" t="s">
        <v>109</v>
      </c>
    </row>
    <row r="15" customFormat="false" ht="15" hidden="false" customHeight="false" outlineLevel="0" collapsed="false">
      <c r="A15" s="25" t="s">
        <v>110</v>
      </c>
      <c r="B15" s="9" t="n">
        <v>20</v>
      </c>
      <c r="C15" s="10" t="n">
        <v>145</v>
      </c>
      <c r="D15" s="11" t="n">
        <f aca="false">B15*C15</f>
        <v>2900</v>
      </c>
      <c r="E15" s="40" t="n">
        <f aca="false">D15*0.7</f>
        <v>2030</v>
      </c>
      <c r="F15" s="41" t="n">
        <f aca="false">E15*30</f>
        <v>60900</v>
      </c>
    </row>
    <row r="16" customFormat="false" ht="15" hidden="false" customHeight="false" outlineLevel="0" collapsed="false">
      <c r="A16" s="25" t="s">
        <v>111</v>
      </c>
      <c r="B16" s="9" t="n">
        <v>35</v>
      </c>
      <c r="C16" s="10" t="n">
        <v>150</v>
      </c>
      <c r="D16" s="11" t="n">
        <f aca="false">B16*C16</f>
        <v>5250</v>
      </c>
      <c r="E16" s="40" t="n">
        <f aca="false">D16*0.7</f>
        <v>3675</v>
      </c>
      <c r="F16" s="41" t="n">
        <f aca="false">E16*30</f>
        <v>110250</v>
      </c>
    </row>
    <row r="17" customFormat="false" ht="15" hidden="false" customHeight="false" outlineLevel="0" collapsed="false">
      <c r="A17" s="25" t="s">
        <v>112</v>
      </c>
      <c r="B17" s="9" t="n">
        <v>50</v>
      </c>
      <c r="C17" s="10" t="n">
        <v>155</v>
      </c>
      <c r="D17" s="11" t="n">
        <f aca="false">B17*C17</f>
        <v>7750</v>
      </c>
      <c r="E17" s="40" t="n">
        <f aca="false">D17*0.7</f>
        <v>5425</v>
      </c>
      <c r="F17" s="41" t="n">
        <f aca="false">E17*30</f>
        <v>162750</v>
      </c>
    </row>
    <row r="19" customFormat="false" ht="15" hidden="false" customHeight="false" outlineLevel="0" collapsed="false">
      <c r="A19" s="42" t="s">
        <v>113</v>
      </c>
      <c r="B19" s="42"/>
      <c r="C19" s="42"/>
      <c r="D19" s="42"/>
      <c r="E19" s="42"/>
      <c r="F19" s="42"/>
    </row>
  </sheetData>
  <mergeCells count="5">
    <mergeCell ref="A1:F1"/>
    <mergeCell ref="A2:F2"/>
    <mergeCell ref="A11:F11"/>
    <mergeCell ref="A13:F13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2026-02-24T01:05:22Z</dcterms:created>
  <dc:creator>openpyxl</dc:creator>
  <dc:description/>
  <dc:language>en-US</dc:language>
  <cp:lastModifiedBy/>
  <dcterms:modified xsi:type="dcterms:W3CDTF">2026-02-24T01:05:22Z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